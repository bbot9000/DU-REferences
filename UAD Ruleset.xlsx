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ority Item Guideline" sheetId="1" r:id="rId4"/>
    <sheet state="visible" name="UAD + AAH" sheetId="2" r:id="rId5"/>
    <sheet state="visible" name="Account Section Guidelines" sheetId="3" r:id="rId6"/>
  </sheets>
  <definedNames/>
  <calcPr/>
</workbook>
</file>

<file path=xl/sharedStrings.xml><?xml version="1.0" encoding="utf-8"?>
<sst xmlns="http://schemas.openxmlformats.org/spreadsheetml/2006/main" count="227" uniqueCount="140">
  <si>
    <t>Category</t>
  </si>
  <si>
    <t>Function Statement (Priority Messages)</t>
  </si>
  <si>
    <t>Ranking</t>
  </si>
  <si>
    <t>Ranking Category</t>
  </si>
  <si>
    <t>Char Count</t>
  </si>
  <si>
    <t>Ranking Attributes</t>
  </si>
  <si>
    <t>Rank</t>
  </si>
  <si>
    <t>Channels</t>
  </si>
  <si>
    <t>Intent</t>
  </si>
  <si>
    <t>Billing Issue</t>
  </si>
  <si>
    <t>There’s a problem with your Auto Pay method.</t>
  </si>
  <si>
    <t>Account Impacting</t>
  </si>
  <si>
    <t>Disruption of process</t>
  </si>
  <si>
    <t>SMS Push</t>
  </si>
  <si>
    <t>Outbound communications that notify the user of steps in their current transactions.</t>
  </si>
  <si>
    <t>Onboarding</t>
  </si>
  <si>
    <t>You have actions to complete.</t>
  </si>
  <si>
    <t>Time sensitive (immediate)</t>
  </si>
  <si>
    <t>Proactive communications about potential or current disruptions.</t>
  </si>
  <si>
    <t>Order Status</t>
  </si>
  <si>
    <t>Your order was canceled</t>
  </si>
  <si>
    <t>Time sensitive (within range)</t>
  </si>
  <si>
    <t>Email</t>
  </si>
  <si>
    <t>There's a problem with your order.</t>
  </si>
  <si>
    <t>Open support issue</t>
  </si>
  <si>
    <t>Your in-store pickup has expired.</t>
  </si>
  <si>
    <t>Business priority</t>
  </si>
  <si>
    <t>Messages about non-urgent cyclical processes</t>
  </si>
  <si>
    <t>Port Status</t>
  </si>
  <si>
    <t>There’s a problem with your number transfer.</t>
  </si>
  <si>
    <t>Passive</t>
  </si>
  <si>
    <t>UAD</t>
  </si>
  <si>
    <t>Promoted Verizon products, strategic offers or calendar events.</t>
  </si>
  <si>
    <t>There’s a problem with your service transfer.</t>
  </si>
  <si>
    <t>Messages about a disruption, are time sensitive or are an open support issue</t>
  </si>
  <si>
    <t>Review your payment investigation ticket.</t>
  </si>
  <si>
    <t>Definitions</t>
  </si>
  <si>
    <t>Basic account snapshot</t>
  </si>
  <si>
    <t>Troubleshooting</t>
  </si>
  <si>
    <t>Your phone may have an issue.</t>
  </si>
  <si>
    <t>Disruption of Process</t>
  </si>
  <si>
    <t>Your service is currently or might be disrupted</t>
  </si>
  <si>
    <t>Notifications</t>
  </si>
  <si>
    <t>Order Status (ISPU)</t>
  </si>
  <si>
    <t>Pick up your order by May 4.</t>
  </si>
  <si>
    <t>Time Sensitive Service Update</t>
  </si>
  <si>
    <t>Should be addressed immediately</t>
  </si>
  <si>
    <t>Refund</t>
  </si>
  <si>
    <t>You have a refund.</t>
  </si>
  <si>
    <t>Should be addressed within specified range</t>
  </si>
  <si>
    <t>30 day log of notifications</t>
  </si>
  <si>
    <t>Trade-in</t>
  </si>
  <si>
    <t>You have an open trade-in.</t>
  </si>
  <si>
    <t>Customer initiated issue/Rep to get back</t>
  </si>
  <si>
    <t>Searchable / Child Page</t>
  </si>
  <si>
    <t>Current / Past information that is not urgent</t>
  </si>
  <si>
    <t>Account Change</t>
  </si>
  <si>
    <t>You have a pending account change.</t>
  </si>
  <si>
    <t>Business priority (???)</t>
  </si>
  <si>
    <t>Verizon products over 3rd party products</t>
  </si>
  <si>
    <t>Open Ticket</t>
  </si>
  <si>
    <t>We’re working on your support request.</t>
  </si>
  <si>
    <t>Open process, no action req</t>
  </si>
  <si>
    <t>Redeem</t>
  </si>
  <si>
    <t>Redeem your Verizon Gift Card by May 4.</t>
  </si>
  <si>
    <t>Major Redemption</t>
  </si>
  <si>
    <t>Redeem your data gift.</t>
  </si>
  <si>
    <t>Redeem your [Physical gift] by May 4.</t>
  </si>
  <si>
    <t>We're preparing your order.</t>
  </si>
  <si>
    <t>Open Status Update</t>
  </si>
  <si>
    <t>Order Status (SDD)</t>
  </si>
  <si>
    <t>Your order is scheduled to arrive Apr 15.</t>
  </si>
  <si>
    <t>Order Status (Shipped)</t>
  </si>
  <si>
    <t>Your order is scheduled to arrive May 4.</t>
  </si>
  <si>
    <t>Track your order updates.</t>
  </si>
  <si>
    <t>We’re working on your number transfer.</t>
  </si>
  <si>
    <t>We’re still transferring your service.</t>
  </si>
  <si>
    <t>AAH + UAD Common Priority Updates</t>
  </si>
  <si>
    <t>Trade-in initiated</t>
  </si>
  <si>
    <t>Port initiated</t>
  </si>
  <si>
    <t>Equipment ordered</t>
  </si>
  <si>
    <t>Support ticket request opened</t>
  </si>
  <si>
    <t>Scenario</t>
  </si>
  <si>
    <t>UAD Priority Update?</t>
  </si>
  <si>
    <t>As a customer, I would like to know if the value of my device has been assessed for trade-in?</t>
  </si>
  <si>
    <t>No</t>
  </si>
  <si>
    <t>As a customer, I sent in a request to use my "e-gift card",  I would like to know the status of my request?</t>
  </si>
  <si>
    <t>No? (needs clarity)</t>
  </si>
  <si>
    <t>As a customer, I contacted customer support and opened an issue, I want to know the status?</t>
  </si>
  <si>
    <t>Yes</t>
  </si>
  <si>
    <t>Data State</t>
  </si>
  <si>
    <t>Suggested Copy V1</t>
  </si>
  <si>
    <t>Metered</t>
  </si>
  <si>
    <t>0-95% data used</t>
  </si>
  <si>
    <t>XX / XX GB data remaining</t>
  </si>
  <si>
    <t>Char Count Scale</t>
  </si>
  <si>
    <t>95-100% data used</t>
  </si>
  <si>
    <t>You're running low on data</t>
  </si>
  <si>
    <t>0-25</t>
  </si>
  <si>
    <t>Out of data</t>
  </si>
  <si>
    <t>You're out of data</t>
  </si>
  <si>
    <t>25-30</t>
  </si>
  <si>
    <t>Safety mode on / 95%-100% data used</t>
  </si>
  <si>
    <t>Safety mode is on</t>
  </si>
  <si>
    <t>30-35</t>
  </si>
  <si>
    <t>Unlimited</t>
  </si>
  <si>
    <t>XX GB data used</t>
  </si>
  <si>
    <t>35+</t>
  </si>
  <si>
    <t>More than 95% data used on a line</t>
  </si>
  <si>
    <t>At or beyond throttle limit</t>
  </si>
  <si>
    <t>You're past your data limit</t>
  </si>
  <si>
    <t>Bill State</t>
  </si>
  <si>
    <t>XX GB of Unlimited plan data used</t>
  </si>
  <si>
    <t>Bill Past Due</t>
  </si>
  <si>
    <t>All past due</t>
  </si>
  <si>
    <t>$XXX past due as of [MMM DD]</t>
  </si>
  <si>
    <t>XX GB data left in Unlimited plan</t>
  </si>
  <si>
    <t>Bill Due Now</t>
  </si>
  <si>
    <t>Auto Pay failed</t>
  </si>
  <si>
    <t>$XXX is due now</t>
  </si>
  <si>
    <t>Not Auto Pay</t>
  </si>
  <si>
    <t>Bill Ready</t>
  </si>
  <si>
    <t>Auto Pay</t>
  </si>
  <si>
    <t>Auto Pay scheduled [MMM DD]</t>
  </si>
  <si>
    <t>$XXX due on [MMM DD]</t>
  </si>
  <si>
    <t>Misc</t>
  </si>
  <si>
    <t>Bankruptcy</t>
  </si>
  <si>
    <t>View your bill</t>
  </si>
  <si>
    <t>Overpayment</t>
  </si>
  <si>
    <t>$XXX paid in advance</t>
  </si>
  <si>
    <t>Paid in full</t>
  </si>
  <si>
    <t>Your bill is paid</t>
  </si>
  <si>
    <t>Not ready: First Bill</t>
  </si>
  <si>
    <t>First bill should be ready [MMM DD]</t>
  </si>
  <si>
    <t>Not ready</t>
  </si>
  <si>
    <t>Bill should be ready [MMM DD]</t>
  </si>
  <si>
    <t>Default: AO/Mgr</t>
  </si>
  <si>
    <t>View or pay your bill</t>
  </si>
  <si>
    <t>Default: AM</t>
  </si>
  <si>
    <t>View and pay your balance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</si>
</sst>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4CCCC"/>
        <bgColor rgb="FFF4CCCC"/>
      </patternFill>
    </fill>
    <fill>
      <patternFill patternType="solid">
        <fgColor rgb="FFB7E1CD"/>
        <bgColor rgb="FFB7E1CD"/>
      </patternFill>
    </fill>
    <fill>
      <patternFill patternType="solid">
        <fgColor rgb="FFFFF2CC"/>
        <bgColor rgb="FFFFF2CC"/>
      </patternFill>
    </fill>
    <fill>
      <patternFill patternType="solid">
        <fgColor rgb="FFE06666"/>
        <bgColor rgb="FFE06666"/>
      </patternFill>
    </fill>
    <fill>
      <patternFill patternType="solid">
        <fgColor rgb="FFFCE8B2"/>
        <bgColor rgb="FFFCE8B2"/>
      </patternFill>
    </fill>
  </fills>
  <borders count="11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Font="1"/>
    <xf borderId="1" fillId="2" fontId="1" numFmtId="0" xfId="0" applyAlignment="1" applyBorder="1" applyFont="1">
      <alignment readingOrder="0"/>
    </xf>
    <xf borderId="2" fillId="2" fontId="1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 shrinkToFit="0" wrapText="1"/>
    </xf>
    <xf borderId="3" fillId="0" fontId="2" numFmtId="0" xfId="0" applyAlignment="1" applyBorder="1" applyFont="1">
      <alignment horizontal="center" readingOrder="0"/>
    </xf>
    <xf borderId="4" fillId="0" fontId="2" numFmtId="0" xfId="0" applyBorder="1" applyFont="1"/>
    <xf borderId="5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 shrinkToFit="0" wrapText="1"/>
    </xf>
    <xf borderId="3" fillId="0" fontId="3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 shrinkToFit="0" wrapText="1"/>
    </xf>
    <xf borderId="5" fillId="0" fontId="2" numFmtId="0" xfId="0" applyAlignment="1" applyBorder="1" applyFont="1">
      <alignment readingOrder="0"/>
    </xf>
    <xf borderId="2" fillId="0" fontId="2" numFmtId="0" xfId="0" applyBorder="1" applyFont="1"/>
    <xf borderId="8" fillId="0" fontId="2" numFmtId="0" xfId="0" applyAlignment="1" applyBorder="1" applyFont="1">
      <alignment readingOrder="0"/>
    </xf>
    <xf borderId="9" fillId="0" fontId="2" numFmtId="0" xfId="0" applyAlignment="1" applyBorder="1" applyFont="1">
      <alignment readingOrder="0" shrinkToFit="0" wrapText="1"/>
    </xf>
    <xf borderId="4" fillId="3" fontId="2" numFmtId="0" xfId="0" applyAlignment="1" applyBorder="1" applyFill="1" applyFont="1">
      <alignment readingOrder="0"/>
    </xf>
    <xf borderId="3" fillId="3" fontId="2" numFmtId="0" xfId="0" applyAlignment="1" applyBorder="1" applyFont="1">
      <alignment readingOrder="0"/>
    </xf>
    <xf borderId="4" fillId="0" fontId="2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2" fillId="0" fontId="3" numFmtId="0" xfId="0" applyAlignment="1" applyBorder="1" applyFont="1">
      <alignment readingOrder="0"/>
    </xf>
    <xf borderId="7" fillId="0" fontId="3" numFmtId="0" xfId="0" applyAlignment="1" applyBorder="1" applyFont="1">
      <alignment readingOrder="0"/>
    </xf>
    <xf borderId="7" fillId="0" fontId="2" numFmtId="0" xfId="0" applyBorder="1" applyFont="1"/>
    <xf borderId="10" fillId="0" fontId="2" numFmtId="0" xfId="0" applyBorder="1" applyFont="1"/>
    <xf borderId="3" fillId="2" fontId="1" numFmtId="0" xfId="0" applyAlignment="1" applyBorder="1" applyFont="1">
      <alignment readingOrder="0"/>
    </xf>
    <xf borderId="0" fillId="0" fontId="2" numFmtId="0" xfId="0" applyAlignment="1" applyFont="1">
      <alignment shrinkToFit="0" wrapText="1"/>
    </xf>
    <xf borderId="3" fillId="4" fontId="2" numFmtId="0" xfId="0" applyAlignment="1" applyBorder="1" applyFill="1" applyFont="1">
      <alignment readingOrder="0"/>
    </xf>
    <xf borderId="4" fillId="4" fontId="2" numFmtId="0" xfId="0" applyAlignment="1" applyBorder="1" applyFont="1">
      <alignment readingOrder="0"/>
    </xf>
    <xf borderId="4" fillId="5" fontId="2" numFmtId="0" xfId="0" applyAlignment="1" applyBorder="1" applyFill="1" applyFont="1">
      <alignment readingOrder="0"/>
    </xf>
    <xf borderId="10" fillId="0" fontId="2" numFmtId="0" xfId="0" applyAlignment="1" applyBorder="1" applyFont="1">
      <alignment readingOrder="0"/>
    </xf>
    <xf borderId="2" fillId="4" fontId="2" numFmtId="0" xfId="0" applyAlignment="1" applyBorder="1" applyFont="1">
      <alignment readingOrder="0"/>
    </xf>
    <xf borderId="6" fillId="6" fontId="2" numFmtId="0" xfId="0" applyAlignment="1" applyBorder="1" applyFill="1" applyFont="1">
      <alignment readingOrder="0"/>
    </xf>
    <xf borderId="0" fillId="0" fontId="2" numFmtId="0" xfId="0" applyFont="1"/>
    <xf borderId="2" fillId="4" fontId="4" numFmtId="0" xfId="0" applyAlignment="1" applyBorder="1" applyFont="1">
      <alignment horizontal="left" readingOrder="0"/>
    </xf>
    <xf borderId="3" fillId="7" fontId="2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40.63"/>
    <col customWidth="1" min="3" max="3" width="8.13"/>
    <col customWidth="1" min="4" max="4" width="23.5"/>
    <col customWidth="1" min="5" max="5" width="10.75"/>
    <col customWidth="1" min="6" max="6" width="5.63"/>
    <col customWidth="1" min="7" max="7" width="24.75"/>
    <col customWidth="1" min="8" max="8" width="35.38"/>
    <col customWidth="1" min="9" max="9" width="6.63"/>
    <col customWidth="1" min="11" max="11" width="64.5"/>
    <col customWidth="1" min="12" max="12" width="24.75"/>
    <col customWidth="1" min="13" max="13" width="24.38"/>
    <col customWidth="1" min="17" max="17" width="18.75"/>
    <col customWidth="1" min="18" max="18" width="6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1" t="s">
        <v>5</v>
      </c>
      <c r="H1" s="1" t="s">
        <v>6</v>
      </c>
      <c r="J1" s="3" t="s">
        <v>7</v>
      </c>
      <c r="K1" s="4" t="s">
        <v>8</v>
      </c>
    </row>
    <row r="2">
      <c r="A2" s="5" t="s">
        <v>9</v>
      </c>
      <c r="B2" s="6" t="s">
        <v>10</v>
      </c>
      <c r="C2" s="7">
        <v>1.0</v>
      </c>
      <c r="D2" s="5" t="s">
        <v>11</v>
      </c>
      <c r="E2" s="8">
        <f t="shared" ref="E2:E9" si="1">len(B2)</f>
        <v>44</v>
      </c>
      <c r="F2" s="2"/>
      <c r="G2" s="9" t="s">
        <v>12</v>
      </c>
      <c r="H2" s="5">
        <v>1.0</v>
      </c>
      <c r="J2" s="9" t="s">
        <v>13</v>
      </c>
      <c r="K2" s="10" t="s">
        <v>14</v>
      </c>
    </row>
    <row r="3">
      <c r="A3" s="5" t="s">
        <v>15</v>
      </c>
      <c r="B3" s="5" t="s">
        <v>16</v>
      </c>
      <c r="C3" s="11">
        <v>2.0</v>
      </c>
      <c r="D3" s="5"/>
      <c r="E3" s="5">
        <f t="shared" si="1"/>
        <v>29</v>
      </c>
      <c r="F3" s="2"/>
      <c r="G3" s="9" t="s">
        <v>17</v>
      </c>
      <c r="H3" s="5">
        <v>2.0</v>
      </c>
      <c r="J3" s="12"/>
      <c r="K3" s="10" t="s">
        <v>18</v>
      </c>
    </row>
    <row r="4">
      <c r="A4" s="5" t="s">
        <v>19</v>
      </c>
      <c r="B4" s="5" t="s">
        <v>20</v>
      </c>
      <c r="C4" s="11">
        <v>3.0</v>
      </c>
      <c r="D4" s="5"/>
      <c r="E4" s="5">
        <f t="shared" si="1"/>
        <v>23</v>
      </c>
      <c r="F4" s="2"/>
      <c r="G4" s="9" t="s">
        <v>21</v>
      </c>
      <c r="H4" s="5">
        <v>3.0</v>
      </c>
      <c r="J4" s="13" t="s">
        <v>22</v>
      </c>
      <c r="K4" s="14" t="s">
        <v>14</v>
      </c>
    </row>
    <row r="5">
      <c r="A5" s="5" t="s">
        <v>19</v>
      </c>
      <c r="B5" s="5" t="s">
        <v>23</v>
      </c>
      <c r="C5" s="11">
        <v>4.0</v>
      </c>
      <c r="D5" s="8"/>
      <c r="E5" s="8">
        <f t="shared" si="1"/>
        <v>34</v>
      </c>
      <c r="F5" s="2"/>
      <c r="G5" s="9" t="s">
        <v>24</v>
      </c>
      <c r="H5" s="5">
        <v>4.0</v>
      </c>
      <c r="J5" s="12"/>
      <c r="K5" s="10" t="s">
        <v>18</v>
      </c>
    </row>
    <row r="6">
      <c r="A6" s="5" t="s">
        <v>19</v>
      </c>
      <c r="B6" s="5" t="s">
        <v>25</v>
      </c>
      <c r="C6" s="11">
        <v>5.0</v>
      </c>
      <c r="D6" s="5"/>
      <c r="E6" s="5">
        <f t="shared" si="1"/>
        <v>33</v>
      </c>
      <c r="F6" s="2"/>
      <c r="G6" s="9" t="s">
        <v>26</v>
      </c>
      <c r="H6" s="5">
        <v>5.0</v>
      </c>
      <c r="J6" s="12"/>
      <c r="K6" s="10" t="s">
        <v>27</v>
      </c>
    </row>
    <row r="7">
      <c r="A7" s="5" t="s">
        <v>28</v>
      </c>
      <c r="B7" s="15" t="s">
        <v>29</v>
      </c>
      <c r="C7" s="11">
        <v>6.0</v>
      </c>
      <c r="D7" s="8"/>
      <c r="E7" s="8">
        <f t="shared" si="1"/>
        <v>44</v>
      </c>
      <c r="F7" s="2"/>
      <c r="G7" s="16" t="s">
        <v>30</v>
      </c>
      <c r="H7" s="17">
        <v>6.0</v>
      </c>
      <c r="J7" s="13" t="s">
        <v>31</v>
      </c>
      <c r="K7" s="14" t="s">
        <v>32</v>
      </c>
    </row>
    <row r="8">
      <c r="A8" s="5" t="s">
        <v>28</v>
      </c>
      <c r="B8" s="15" t="s">
        <v>33</v>
      </c>
      <c r="C8" s="11">
        <v>7.0</v>
      </c>
      <c r="D8" s="8"/>
      <c r="E8" s="8">
        <f t="shared" si="1"/>
        <v>45</v>
      </c>
      <c r="J8" s="12"/>
      <c r="K8" s="18" t="s">
        <v>34</v>
      </c>
    </row>
    <row r="9">
      <c r="A9" s="5" t="s">
        <v>9</v>
      </c>
      <c r="B9" s="5" t="s">
        <v>35</v>
      </c>
      <c r="C9" s="11">
        <v>8.0</v>
      </c>
      <c r="D9" s="5"/>
      <c r="E9" s="5">
        <f t="shared" si="1"/>
        <v>41</v>
      </c>
      <c r="F9" s="2"/>
      <c r="G9" s="1" t="s">
        <v>5</v>
      </c>
      <c r="H9" s="1" t="s">
        <v>36</v>
      </c>
      <c r="J9" s="12"/>
      <c r="K9" s="18" t="s">
        <v>37</v>
      </c>
    </row>
    <row r="10">
      <c r="A10" s="5" t="s">
        <v>38</v>
      </c>
      <c r="B10" s="5" t="s">
        <v>39</v>
      </c>
      <c r="C10" s="11">
        <v>9.0</v>
      </c>
      <c r="D10" s="5"/>
      <c r="E10" s="8">
        <f>len(B11)</f>
        <v>28</v>
      </c>
      <c r="F10" s="2"/>
      <c r="G10" s="9" t="s">
        <v>40</v>
      </c>
      <c r="H10" s="5" t="s">
        <v>41</v>
      </c>
      <c r="J10" s="19" t="s">
        <v>42</v>
      </c>
      <c r="K10" s="14" t="s">
        <v>27</v>
      </c>
    </row>
    <row r="11">
      <c r="A11" s="6" t="s">
        <v>43</v>
      </c>
      <c r="B11" s="6" t="s">
        <v>44</v>
      </c>
      <c r="C11" s="7">
        <v>10.0</v>
      </c>
      <c r="D11" s="6" t="s">
        <v>45</v>
      </c>
      <c r="E11" s="20">
        <f t="shared" ref="E11:E13" si="2">len(B11)</f>
        <v>28</v>
      </c>
      <c r="F11" s="2"/>
      <c r="G11" s="9" t="s">
        <v>17</v>
      </c>
      <c r="H11" s="5" t="s">
        <v>46</v>
      </c>
      <c r="J11" s="12"/>
      <c r="K11" s="18" t="s">
        <v>14</v>
      </c>
    </row>
    <row r="12">
      <c r="A12" s="5" t="s">
        <v>47</v>
      </c>
      <c r="B12" s="5" t="s">
        <v>48</v>
      </c>
      <c r="C12" s="11">
        <v>11.0</v>
      </c>
      <c r="D12" s="5"/>
      <c r="E12" s="5">
        <f t="shared" si="2"/>
        <v>18</v>
      </c>
      <c r="F12" s="2"/>
      <c r="G12" s="9" t="s">
        <v>21</v>
      </c>
      <c r="H12" s="5" t="s">
        <v>49</v>
      </c>
      <c r="J12" s="12"/>
      <c r="K12" s="18" t="s">
        <v>50</v>
      </c>
    </row>
    <row r="13">
      <c r="A13" s="5" t="s">
        <v>51</v>
      </c>
      <c r="B13" s="15" t="s">
        <v>52</v>
      </c>
      <c r="C13" s="11">
        <v>12.0</v>
      </c>
      <c r="D13" s="8"/>
      <c r="E13" s="8">
        <f t="shared" si="2"/>
        <v>26</v>
      </c>
      <c r="F13" s="2"/>
      <c r="G13" s="9" t="s">
        <v>24</v>
      </c>
      <c r="H13" s="5" t="s">
        <v>53</v>
      </c>
      <c r="J13" s="21" t="s">
        <v>54</v>
      </c>
      <c r="K13" s="22" t="s">
        <v>55</v>
      </c>
    </row>
    <row r="14">
      <c r="A14" s="5" t="s">
        <v>56</v>
      </c>
      <c r="B14" s="5" t="s">
        <v>57</v>
      </c>
      <c r="C14" s="11">
        <v>13.0</v>
      </c>
      <c r="D14" s="5"/>
      <c r="E14" s="5">
        <f t="shared" ref="E14:E23" si="3">len(B15)</f>
        <v>38</v>
      </c>
      <c r="F14" s="2"/>
      <c r="G14" s="23" t="s">
        <v>58</v>
      </c>
      <c r="H14" s="24" t="s">
        <v>59</v>
      </c>
    </row>
    <row r="15">
      <c r="A15" s="5" t="s">
        <v>60</v>
      </c>
      <c r="B15" s="15" t="s">
        <v>61</v>
      </c>
      <c r="C15" s="25">
        <v>14.0</v>
      </c>
      <c r="D15" s="8"/>
      <c r="E15" s="8">
        <f t="shared" si="3"/>
        <v>39</v>
      </c>
      <c r="F15" s="26"/>
      <c r="G15" s="16" t="s">
        <v>30</v>
      </c>
      <c r="H15" s="17" t="s">
        <v>62</v>
      </c>
    </row>
    <row r="16">
      <c r="A16" s="6" t="s">
        <v>63</v>
      </c>
      <c r="B16" s="27" t="s">
        <v>64</v>
      </c>
      <c r="C16" s="7">
        <v>15.0</v>
      </c>
      <c r="D16" s="6" t="s">
        <v>65</v>
      </c>
      <c r="E16" s="20">
        <f t="shared" si="3"/>
        <v>22</v>
      </c>
    </row>
    <row r="17">
      <c r="A17" s="5" t="s">
        <v>63</v>
      </c>
      <c r="B17" s="15" t="s">
        <v>66</v>
      </c>
      <c r="C17" s="11">
        <v>16.0</v>
      </c>
      <c r="D17" s="8"/>
      <c r="E17" s="8">
        <f t="shared" si="3"/>
        <v>37</v>
      </c>
      <c r="G17" s="2"/>
      <c r="H17" s="2"/>
    </row>
    <row r="18">
      <c r="A18" s="5" t="s">
        <v>63</v>
      </c>
      <c r="B18" s="15" t="s">
        <v>67</v>
      </c>
      <c r="C18" s="25">
        <v>17.0</v>
      </c>
      <c r="D18" s="8"/>
      <c r="E18" s="8">
        <f t="shared" si="3"/>
        <v>27</v>
      </c>
      <c r="F18" s="2"/>
    </row>
    <row r="19">
      <c r="A19" s="6" t="s">
        <v>19</v>
      </c>
      <c r="B19" s="6" t="s">
        <v>68</v>
      </c>
      <c r="C19" s="7">
        <v>18.0</v>
      </c>
      <c r="D19" s="6" t="s">
        <v>69</v>
      </c>
      <c r="E19" s="20">
        <f t="shared" si="3"/>
        <v>41</v>
      </c>
      <c r="F19" s="2"/>
    </row>
    <row r="20">
      <c r="A20" s="5" t="s">
        <v>70</v>
      </c>
      <c r="B20" s="5" t="s">
        <v>71</v>
      </c>
      <c r="C20" s="11">
        <v>19.0</v>
      </c>
      <c r="D20" s="8"/>
      <c r="E20" s="8">
        <f t="shared" si="3"/>
        <v>40</v>
      </c>
    </row>
    <row r="21">
      <c r="A21" s="5" t="s">
        <v>72</v>
      </c>
      <c r="B21" s="5" t="s">
        <v>73</v>
      </c>
      <c r="C21" s="25">
        <v>20.0</v>
      </c>
      <c r="D21" s="8"/>
      <c r="E21" s="8">
        <f t="shared" si="3"/>
        <v>25</v>
      </c>
      <c r="F21" s="2"/>
    </row>
    <row r="22">
      <c r="A22" s="5" t="s">
        <v>19</v>
      </c>
      <c r="B22" s="5" t="s">
        <v>74</v>
      </c>
      <c r="C22" s="11">
        <v>21.0</v>
      </c>
      <c r="D22" s="8"/>
      <c r="E22" s="8">
        <f t="shared" si="3"/>
        <v>38</v>
      </c>
    </row>
    <row r="23">
      <c r="A23" s="5" t="s">
        <v>28</v>
      </c>
      <c r="B23" s="15" t="s">
        <v>75</v>
      </c>
      <c r="C23" s="11">
        <v>22.0</v>
      </c>
      <c r="D23" s="8"/>
      <c r="E23" s="8">
        <f t="shared" si="3"/>
        <v>38</v>
      </c>
    </row>
    <row r="24">
      <c r="A24" s="17" t="s">
        <v>28</v>
      </c>
      <c r="B24" s="28" t="s">
        <v>76</v>
      </c>
      <c r="C24" s="25">
        <v>23.0</v>
      </c>
      <c r="D24" s="29"/>
      <c r="E24" s="29">
        <f>len(B24)</f>
        <v>38</v>
      </c>
      <c r="F24" s="2"/>
      <c r="I24" s="2"/>
      <c r="J24" s="2"/>
      <c r="K24" s="2"/>
    </row>
    <row r="25">
      <c r="C25" s="30"/>
    </row>
    <row r="27">
      <c r="A27" s="2"/>
      <c r="B27" s="2"/>
      <c r="E27" s="2"/>
    </row>
    <row r="45">
      <c r="I45" s="8"/>
    </row>
    <row r="47">
      <c r="I47" s="8"/>
    </row>
    <row r="48">
      <c r="I48" s="8"/>
    </row>
  </sheetData>
  <conditionalFormatting sqref="H2:H7">
    <cfRule type="colorScale" priority="1">
      <colorScale>
        <cfvo type="min"/>
        <cfvo type="max"/>
        <color rgb="FFE06666"/>
        <color rgb="FFD9EAD3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4.63"/>
    <col customWidth="1" min="4" max="4" width="44.0"/>
    <col customWidth="1" min="5" max="5" width="18.25"/>
  </cols>
  <sheetData>
    <row r="1">
      <c r="A1" s="1" t="s">
        <v>0</v>
      </c>
      <c r="B1" s="1" t="s">
        <v>1</v>
      </c>
      <c r="D1" s="31" t="s">
        <v>77</v>
      </c>
    </row>
    <row r="2">
      <c r="A2" s="5" t="s">
        <v>9</v>
      </c>
      <c r="B2" s="6" t="s">
        <v>10</v>
      </c>
      <c r="D2" s="9" t="s">
        <v>78</v>
      </c>
    </row>
    <row r="3">
      <c r="A3" s="5" t="s">
        <v>15</v>
      </c>
      <c r="B3" s="5" t="s">
        <v>16</v>
      </c>
      <c r="D3" s="9" t="s">
        <v>79</v>
      </c>
    </row>
    <row r="4">
      <c r="A4" s="5" t="s">
        <v>19</v>
      </c>
      <c r="B4" s="5" t="s">
        <v>20</v>
      </c>
      <c r="D4" s="9" t="s">
        <v>80</v>
      </c>
    </row>
    <row r="5">
      <c r="A5" s="5" t="s">
        <v>19</v>
      </c>
      <c r="B5" s="5" t="s">
        <v>23</v>
      </c>
      <c r="D5" s="16" t="s">
        <v>81</v>
      </c>
    </row>
    <row r="6">
      <c r="A6" s="5" t="s">
        <v>19</v>
      </c>
      <c r="B6" s="5" t="s">
        <v>25</v>
      </c>
    </row>
    <row r="7">
      <c r="A7" s="5" t="s">
        <v>28</v>
      </c>
      <c r="B7" s="15" t="s">
        <v>29</v>
      </c>
    </row>
    <row r="8">
      <c r="A8" s="5" t="s">
        <v>28</v>
      </c>
      <c r="B8" s="15" t="s">
        <v>33</v>
      </c>
      <c r="D8" s="1" t="s">
        <v>82</v>
      </c>
      <c r="E8" s="1" t="s">
        <v>83</v>
      </c>
    </row>
    <row r="9">
      <c r="A9" s="5" t="s">
        <v>9</v>
      </c>
      <c r="B9" s="5" t="s">
        <v>35</v>
      </c>
      <c r="D9" s="32" t="s">
        <v>84</v>
      </c>
      <c r="E9" s="26" t="s">
        <v>85</v>
      </c>
    </row>
    <row r="10">
      <c r="A10" s="5" t="s">
        <v>38</v>
      </c>
      <c r="B10" s="5" t="s">
        <v>39</v>
      </c>
      <c r="D10" s="32" t="s">
        <v>86</v>
      </c>
      <c r="E10" s="26" t="s">
        <v>87</v>
      </c>
    </row>
    <row r="11">
      <c r="A11" s="6" t="s">
        <v>43</v>
      </c>
      <c r="B11" s="6" t="s">
        <v>44</v>
      </c>
      <c r="D11" s="32" t="s">
        <v>88</v>
      </c>
      <c r="E11" s="26" t="s">
        <v>89</v>
      </c>
    </row>
    <row r="12">
      <c r="A12" s="5" t="s">
        <v>47</v>
      </c>
      <c r="B12" s="5" t="s">
        <v>48</v>
      </c>
    </row>
    <row r="13">
      <c r="A13" s="5" t="s">
        <v>51</v>
      </c>
      <c r="B13" s="15" t="s">
        <v>52</v>
      </c>
    </row>
    <row r="14">
      <c r="A14" s="5" t="s">
        <v>56</v>
      </c>
      <c r="B14" s="5" t="s">
        <v>57</v>
      </c>
    </row>
    <row r="15">
      <c r="A15" s="5" t="s">
        <v>60</v>
      </c>
      <c r="B15" s="15" t="s">
        <v>61</v>
      </c>
    </row>
    <row r="16">
      <c r="A16" s="6" t="s">
        <v>63</v>
      </c>
      <c r="B16" s="27" t="s">
        <v>64</v>
      </c>
    </row>
    <row r="17">
      <c r="A17" s="5" t="s">
        <v>63</v>
      </c>
      <c r="B17" s="15" t="s">
        <v>66</v>
      </c>
    </row>
    <row r="18">
      <c r="A18" s="5" t="s">
        <v>63</v>
      </c>
      <c r="B18" s="15" t="s">
        <v>67</v>
      </c>
    </row>
    <row r="19">
      <c r="A19" s="6" t="s">
        <v>19</v>
      </c>
      <c r="B19" s="6" t="s">
        <v>68</v>
      </c>
    </row>
    <row r="20">
      <c r="A20" s="5" t="s">
        <v>70</v>
      </c>
      <c r="B20" s="5" t="s">
        <v>71</v>
      </c>
    </row>
    <row r="21">
      <c r="A21" s="5" t="s">
        <v>72</v>
      </c>
      <c r="B21" s="5" t="s">
        <v>73</v>
      </c>
    </row>
    <row r="22">
      <c r="A22" s="5" t="s">
        <v>19</v>
      </c>
      <c r="B22" s="5" t="s">
        <v>74</v>
      </c>
    </row>
    <row r="23">
      <c r="A23" s="5" t="s">
        <v>28</v>
      </c>
      <c r="B23" s="15" t="s">
        <v>75</v>
      </c>
    </row>
    <row r="24">
      <c r="A24" s="17" t="s">
        <v>28</v>
      </c>
      <c r="B24" s="28" t="s">
        <v>76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88"/>
    <col customWidth="1" min="3" max="3" width="28.25"/>
    <col customWidth="1" min="4" max="4" width="10.25"/>
    <col customWidth="1" min="5" max="5" width="22.38"/>
    <col customWidth="1" min="6" max="6" width="21.75"/>
  </cols>
  <sheetData>
    <row r="1">
      <c r="A1" s="1" t="s">
        <v>90</v>
      </c>
      <c r="B1" s="1" t="s">
        <v>82</v>
      </c>
      <c r="C1" s="1" t="s">
        <v>91</v>
      </c>
    </row>
    <row r="2">
      <c r="A2" s="5" t="s">
        <v>92</v>
      </c>
      <c r="B2" s="26" t="s">
        <v>93</v>
      </c>
      <c r="C2" s="33" t="s">
        <v>94</v>
      </c>
      <c r="E2" s="1" t="s">
        <v>95</v>
      </c>
    </row>
    <row r="3">
      <c r="A3" s="5" t="s">
        <v>92</v>
      </c>
      <c r="B3" s="26" t="s">
        <v>96</v>
      </c>
      <c r="C3" s="33" t="s">
        <v>97</v>
      </c>
      <c r="E3" s="34" t="s">
        <v>98</v>
      </c>
    </row>
    <row r="4">
      <c r="A4" s="5" t="s">
        <v>92</v>
      </c>
      <c r="B4" s="26" t="s">
        <v>99</v>
      </c>
      <c r="C4" s="33" t="s">
        <v>100</v>
      </c>
      <c r="E4" s="35" t="s">
        <v>101</v>
      </c>
    </row>
    <row r="5">
      <c r="A5" s="5" t="s">
        <v>92</v>
      </c>
      <c r="B5" s="26" t="s">
        <v>102</v>
      </c>
      <c r="C5" s="33" t="s">
        <v>103</v>
      </c>
      <c r="E5" s="23" t="s">
        <v>104</v>
      </c>
    </row>
    <row r="6">
      <c r="A6" s="6" t="s">
        <v>105</v>
      </c>
      <c r="B6" s="36" t="s">
        <v>93</v>
      </c>
      <c r="C6" s="37" t="s">
        <v>106</v>
      </c>
      <c r="E6" s="38" t="s">
        <v>107</v>
      </c>
    </row>
    <row r="7">
      <c r="A7" s="5" t="s">
        <v>105</v>
      </c>
      <c r="B7" s="26" t="s">
        <v>108</v>
      </c>
      <c r="C7" s="33" t="s">
        <v>106</v>
      </c>
    </row>
    <row r="8">
      <c r="A8" s="5" t="s">
        <v>105</v>
      </c>
      <c r="B8" s="26" t="s">
        <v>109</v>
      </c>
      <c r="C8" s="33" t="s">
        <v>110</v>
      </c>
    </row>
    <row r="9">
      <c r="A9" s="30"/>
      <c r="B9" s="30"/>
      <c r="C9" s="30"/>
    </row>
    <row r="10">
      <c r="A10" s="1" t="s">
        <v>111</v>
      </c>
      <c r="B10" s="1" t="s">
        <v>82</v>
      </c>
      <c r="C10" s="1" t="s">
        <v>91</v>
      </c>
      <c r="E10" s="2"/>
      <c r="F10" s="2"/>
      <c r="G10" s="26" t="s">
        <v>112</v>
      </c>
      <c r="I10" s="39">
        <f t="shared" ref="I10:I11" si="1">LEN(G10)</f>
        <v>33</v>
      </c>
    </row>
    <row r="11">
      <c r="A11" s="5" t="s">
        <v>113</v>
      </c>
      <c r="B11" s="5" t="s">
        <v>114</v>
      </c>
      <c r="C11" s="33" t="s">
        <v>115</v>
      </c>
      <c r="E11" s="2"/>
      <c r="F11" s="2"/>
      <c r="G11" s="26" t="s">
        <v>116</v>
      </c>
      <c r="I11" s="39">
        <f t="shared" si="1"/>
        <v>33</v>
      </c>
    </row>
    <row r="12">
      <c r="A12" s="6" t="s">
        <v>117</v>
      </c>
      <c r="B12" s="6" t="s">
        <v>118</v>
      </c>
      <c r="C12" s="37" t="s">
        <v>119</v>
      </c>
      <c r="E12" s="2"/>
      <c r="F12" s="2"/>
    </row>
    <row r="13">
      <c r="A13" s="5" t="s">
        <v>117</v>
      </c>
      <c r="B13" s="5" t="s">
        <v>120</v>
      </c>
      <c r="C13" s="33" t="s">
        <v>119</v>
      </c>
      <c r="E13" s="2"/>
      <c r="F13" s="2"/>
    </row>
    <row r="14">
      <c r="A14" s="6" t="s">
        <v>121</v>
      </c>
      <c r="B14" s="6" t="s">
        <v>122</v>
      </c>
      <c r="C14" s="40" t="s">
        <v>123</v>
      </c>
    </row>
    <row r="15">
      <c r="A15" s="5" t="s">
        <v>121</v>
      </c>
      <c r="B15" s="5" t="s">
        <v>120</v>
      </c>
      <c r="C15" s="33" t="s">
        <v>124</v>
      </c>
    </row>
    <row r="16">
      <c r="A16" s="6" t="s">
        <v>125</v>
      </c>
      <c r="B16" s="6" t="s">
        <v>126</v>
      </c>
      <c r="C16" s="37" t="s">
        <v>127</v>
      </c>
    </row>
    <row r="17">
      <c r="A17" s="5" t="s">
        <v>125</v>
      </c>
      <c r="B17" s="5" t="s">
        <v>128</v>
      </c>
      <c r="C17" s="33" t="s">
        <v>129</v>
      </c>
      <c r="E17" s="2"/>
    </row>
    <row r="18">
      <c r="A18" s="5" t="s">
        <v>125</v>
      </c>
      <c r="B18" s="5" t="s">
        <v>130</v>
      </c>
      <c r="C18" s="33" t="s">
        <v>131</v>
      </c>
      <c r="E18" s="2"/>
    </row>
    <row r="19">
      <c r="A19" s="5" t="s">
        <v>125</v>
      </c>
      <c r="B19" s="5" t="s">
        <v>132</v>
      </c>
      <c r="C19" s="41" t="s">
        <v>133</v>
      </c>
      <c r="E19" s="2"/>
    </row>
    <row r="20">
      <c r="A20" s="5" t="s">
        <v>125</v>
      </c>
      <c r="B20" s="5" t="s">
        <v>134</v>
      </c>
      <c r="C20" s="41" t="s">
        <v>135</v>
      </c>
    </row>
    <row r="21">
      <c r="A21" s="5" t="s">
        <v>125</v>
      </c>
      <c r="B21" s="5" t="s">
        <v>136</v>
      </c>
      <c r="C21" s="33" t="s">
        <v>137</v>
      </c>
    </row>
    <row r="22">
      <c r="A22" s="5" t="s">
        <v>125</v>
      </c>
      <c r="B22" s="5" t="s">
        <v>138</v>
      </c>
      <c r="C22" s="33" t="s">
        <v>139</v>
      </c>
    </row>
    <row r="23">
      <c r="A23" s="30"/>
      <c r="B23" s="30"/>
      <c r="C23" s="30"/>
    </row>
  </sheetData>
  <drawing r:id="rId1"/>
</worksheet>
</file>