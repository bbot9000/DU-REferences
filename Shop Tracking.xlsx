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Dashboard WIP" sheetId="1" r:id="rId4"/>
    <sheet state="visible" name="Sales Funnel" sheetId="2" r:id="rId5"/>
    <sheet state="visible" name="RTM" sheetId="3" r:id="rId6"/>
    <sheet state="visible" name="Prepaid  Device Activation" sheetId="4" r:id="rId7"/>
    <sheet state="visible" name="DOBRTMmisc." sheetId="5" r:id="rId8"/>
    <sheet state="visible" name="DOBRTMmisc. Archive" sheetId="6" r:id="rId9"/>
    <sheet state="visible" name="Digital Onboarding (Archive)" sheetId="7" r:id="rId10"/>
    <sheet state="visible" name="Strategic Initiatives" sheetId="8" r:id="rId11"/>
    <sheet state="visible" name="Archive"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@jorich.wong@verizon.com Note from Amanda: 
"Hey! We have a new landing page refresh coming in for Friends &amp; Family: 
Ray, I know you have bandwidth and would be able to kick off soon. Kristin, I was thinking this one might want some of your attention compared to other pages, as there's a lot of content to unpack on how it works - but not sure how your bandwidth is looking. I believe Bryony was also working with Elyssa on the flow experience, and they may have some input on the original page we may want to consider in this refresh? Or not sure if Bryony should support?
Lmk your both your thoughts."
	-Kristin Terpeza</t>
      </text>
    </comment>
    <comment authorId="0" ref="K15">
      <text>
        <t xml:space="preserve">Would this be for broader or Shop team-wide references not covered by track of work tabs (ex Sales) &gt; Content Links column?
	-Kristin Terpeza
Yep, the idea is that we would place important links for quick access etc
1 total reaction
Kristin Terpeza reacted with 👍 at 2024-10-24 21:02 PM
	-Jorich J Wong</t>
      </text>
    </comment>
    <comment authorId="0" ref="B23">
      <text>
        <t xml:space="preserve">???
	-Jorich J Wong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9">
      <text>
        <t xml:space="preserve">@jessica.leshnoff-beatty@verizon.com Please add your Shop projects / bandwidth here
	-Jorich J Wong</t>
      </text>
    </comment>
    <comment authorId="0" ref="B41">
      <text>
        <t xml:space="preserve">@bryony.hoare@verizon.com 
Moved this from under "Needs Delegation" to your board :)
	-Kristin Terpeza</t>
      </text>
    </comment>
    <comment authorId="0" ref="H1">
      <text>
        <t xml:space="preserve">Learn
Buy
Get
Retail
	-Jorich J Wong</t>
      </text>
    </comment>
    <comment authorId="0" ref="C1">
      <text>
        <t xml:space="preserve">New flow, page or feature
Redesigned flow, page or feature
Enhancement
Band-aid
Defect
Content design strategy only
	-Jorich J Wong</t>
      </text>
    </comment>
    <comment authorId="0" ref="D1">
      <text>
        <t xml:space="preserve">Onboarding
Discovery
Content/UX design
Grooming
Blocked
Maintenance
MVP
On hold
	-Jorich J Wong
On hold
	-Kristin Terpeza</t>
      </text>
    </comment>
    <comment authorId="0" ref="E1">
      <text>
        <t xml:space="preserve">- Content audit
- Content direction &amp; planning
- UX writing &amp; design collab
- Structured content
- Standards &amp; governance
- Information Architecture
- Content testing
- Defect work / maintenance
	-Jorich J Wong</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Intake
- Content Edit
- Design Edit
- Stakeholder Review
- Legal
- GTS - Handoff
- Maintenance
	-Jorich J Wong</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Phase examples:
- 2b
	-Jorich J Wong
----
Placement examples (non-exhaustive)
- Gift Card
- Go to Market Video
- Operations
- Error States
- Triage
- Select Seats
- Presale
- Anytime Deals
- Local Passes
	-Jorich J Wong</t>
      </text>
    </comment>
    <comment authorId="0" ref="A1">
      <text>
        <t xml:space="preserve">- Content
- Partnership
- Process
	-Jorich J Wong</t>
      </text>
    </comment>
  </commentList>
</comments>
</file>

<file path=xl/sharedStrings.xml><?xml version="1.0" encoding="utf-8"?>
<sst xmlns="http://schemas.openxmlformats.org/spreadsheetml/2006/main" count="1407" uniqueCount="733">
  <si>
    <t>TEAM DASHBOARD</t>
  </si>
  <si>
    <t>Important Announcements</t>
  </si>
  <si>
    <t>Content Designer</t>
  </si>
  <si>
    <t>Bandwidth</t>
  </si>
  <si>
    <t>Shop Team Sync Agenda Items</t>
  </si>
  <si>
    <t>IMPORTANT PROGRAMS</t>
  </si>
  <si>
    <t>KT</t>
  </si>
  <si>
    <t>Walk through this document</t>
  </si>
  <si>
    <t>NGD</t>
  </si>
  <si>
    <t>BH</t>
  </si>
  <si>
    <t>Discuss any adjustments / additions</t>
  </si>
  <si>
    <t>JW</t>
  </si>
  <si>
    <t>JS</t>
  </si>
  <si>
    <t>KK</t>
  </si>
  <si>
    <t>JLB</t>
  </si>
  <si>
    <t>Recurring Meetings</t>
  </si>
  <si>
    <t>Coverage</t>
  </si>
  <si>
    <t>Weekly Digital Flow Walkthrough</t>
  </si>
  <si>
    <t>JW / BH</t>
  </si>
  <si>
    <t>NGD Design Only: Sales Funnel</t>
  </si>
  <si>
    <t>KK / JS</t>
  </si>
  <si>
    <t>Next Gen Design: Browse</t>
  </si>
  <si>
    <t>KT &amp; BH</t>
  </si>
  <si>
    <t>Needs delegation</t>
  </si>
  <si>
    <t>PDP Design Team weekly sync</t>
  </si>
  <si>
    <t>KT / BH</t>
  </si>
  <si>
    <t>I WANT A PROGRAM MANAGER</t>
  </si>
  <si>
    <t>Elvis Digital Team weekly sync</t>
  </si>
  <si>
    <t>IMPORTANT LINKS</t>
  </si>
  <si>
    <t>NOTES</t>
  </si>
  <si>
    <t>Landing page refresh for Friends &amp; Family</t>
  </si>
  <si>
    <t>Weekly GW sync + CXO [on hold as of mid-Jan 2025]</t>
  </si>
  <si>
    <t>Next Gen Digital | Quick Shop Multi Line Alignment - August thru Holiday 2024</t>
  </si>
  <si>
    <t>Shows how flows between BAU, Quick Shop and NGD projects will connect for single &amp; multi-line</t>
  </si>
  <si>
    <t>NGD PDP redesign &amp; Flyout Cart Full Team Working Session</t>
  </si>
  <si>
    <t>PDP Alignment | Bi-Weekly</t>
  </si>
  <si>
    <t>Allotment</t>
  </si>
  <si>
    <t>Percentage</t>
  </si>
  <si>
    <t>Strategic</t>
  </si>
  <si>
    <t>Operation</t>
  </si>
  <si>
    <t>Project Name</t>
  </si>
  <si>
    <t>Project Type (what)</t>
  </si>
  <si>
    <t>Project Phase (when)</t>
  </si>
  <si>
    <t>What I'm doing</t>
  </si>
  <si>
    <t>Design Link</t>
  </si>
  <si>
    <t>Content Link</t>
  </si>
  <si>
    <t>Journey/domain</t>
  </si>
  <si>
    <t>Impacted Page/Flow</t>
  </si>
  <si>
    <t>Stakeholders</t>
  </si>
  <si>
    <t>Work Percentage</t>
  </si>
  <si>
    <t>Start Date</t>
  </si>
  <si>
    <t>Accomplishments</t>
  </si>
  <si>
    <t>Notes</t>
  </si>
  <si>
    <t>Last Update to Sheet</t>
  </si>
  <si>
    <t>End Date</t>
  </si>
  <si>
    <t>Kristin Terpeza</t>
  </si>
  <si>
    <t>Offer nomenclature documentation, XA collab-related</t>
  </si>
  <si>
    <t>Content design strategy only</t>
  </si>
  <si>
    <t>Discovery, content testing, maintenance</t>
  </si>
  <si>
    <t>Standards &amp; governance</t>
  </si>
  <si>
    <t>https://docs.google.com/spreadsheets/d/14AyIM-7nQNxZO1_wPHlwhCUEoUoKii5QNbTTT1H605Q/edit?service=wise&amp;osid=1&amp;ltmpl=sheets&amp;ifkv=ARpgrqfdatVTJeywF7kt1CC6ONFaUoBkJ4pPzy7Zh33WQNddbEiyVZoZKO8nOrW2B7W2beYegFGc&amp;gid=1892953359#gid=1892953359</t>
  </si>
  <si>
    <t>Shop</t>
  </si>
  <si>
    <t>Bryony Hoare</t>
  </si>
  <si>
    <t>Re-started 8/20/24</t>
  </si>
  <si>
    <t>- Email to Brandy, rescheduled mtg
- Met with Lauren (Plans team)
- Proposed guidelines for discount vs. bill credit
- Started deck for promo vs. offer audit
- Initial planning for next discovery/spot tests
- Started planning around discount/credit discovery
- Updated to match Bryony deck, further refined &amp; updated to share out</t>
  </si>
  <si>
    <t xml:space="preserve">KT </t>
  </si>
  <si>
    <t>NGD PDP: Dark Patterns nomenclature
(Discount, credit, on us, free, etc)</t>
  </si>
  <si>
    <t>https://www.figma.com/board/vl52LGlHksmu3vanET4hPI/Discount-vs-Credit-audit-WIP?node-id=0-1&amp;t=CADrr1IgS9mPvxab-1</t>
  </si>
  <si>
    <t>Verizon Standard Presentation Template 2025</t>
  </si>
  <si>
    <t>Lily Lin</t>
  </si>
  <si>
    <t>- Re-reviewing CMI readout, planning next steps
- Completed VZ &amp; competitor/comparator audit
- Started on audit analysis sheet
- Started CMI brief for nomenclature survey (paralell path while finishing up audit analysis sheet)</t>
  </si>
  <si>
    <t>NGD PDP: device financing TILA enhancements (sales tax etc)</t>
  </si>
  <si>
    <t>Discovery</t>
  </si>
  <si>
    <t xml:space="preserve">Lacy Kennedy, Matthew Hon, Purnima </t>
  </si>
  <si>
    <t>- documentation refinement for subsequent BMSMs, BOGOs</t>
  </si>
  <si>
    <t>NGD PDP: Dark Pattern TILA enhancements</t>
  </si>
  <si>
    <t>Enhancement</t>
  </si>
  <si>
    <t>Content/UX design</t>
  </si>
  <si>
    <t>Structured content, Standards &amp; governance</t>
  </si>
  <si>
    <t>https://www.figma.com/design/nlazIeYTvc8wgUX4xoZ0kP/NGD-PDP---documentation?node-id=7340-28120&amp;p=f&amp;t=ACR0rvExfnB4pQJD-0</t>
  </si>
  <si>
    <t>https://docs.google.com/spreadsheets/d/1yDFlXXhQQaCZenIzNV_I2NRNCYeb2yYOjjdsOuR1eXE/edit?gid=736793826#gid=736793826</t>
  </si>
  <si>
    <t>Discover/Learn</t>
  </si>
  <si>
    <t>Yogesh Sharma, Lacy Kennedy, Brian Swift, Andy Dubrov</t>
  </si>
  <si>
    <t>- New offer type: BIC w/ port-in legal review, documentation
- Offers w/ non-Unlimited and/or legacy plans req's?</t>
  </si>
  <si>
    <t xml:space="preserve">Satellite LP redesign </t>
  </si>
  <si>
    <t>Redesign/Enhancement</t>
  </si>
  <si>
    <t>Onboarding</t>
  </si>
  <si>
    <t>- Q&amp;A w technical team
- Kickoff</t>
  </si>
  <si>
    <t>NGD Cart Gift card offer (Flyout Dark Patterns) ad hoc consulting</t>
  </si>
  <si>
    <t>Enhancements</t>
  </si>
  <si>
    <t>Content direction, UX writing</t>
  </si>
  <si>
    <t>https://www.figma.com/design/cg0rH8ukqYX8duwTRkBlws/NGD-Offers?node-id=6768-37051&amp;p=f&amp;t=afGWQelNzWHVlYow-0</t>
  </si>
  <si>
    <t>Nathan Morentz, Shaya Nadaf, Nora Harvey, Lacy Kennedy</t>
  </si>
  <si>
    <t>- Qs to prod exp team on requirement updates
- Copy for new chargeback offer reqs
- Qs to product exp team</t>
  </si>
  <si>
    <t>NGD flyout enhance - BMSM</t>
  </si>
  <si>
    <t>UX writing &amp; design collab</t>
  </si>
  <si>
    <t>https://www.figma.com/design/wDNLwxWFZV2fIdoX9QjN62/NGD-BMSM-BOGO-Deliverables?node-id=298-7061&amp;t=pbWoWCsHNL9BWnDz-0</t>
  </si>
  <si>
    <t>Matt Zabita, Nadia Chaudhry</t>
  </si>
  <si>
    <t>- VQA
- CTA Spot test for MVP complete
- Final copy tweaks to UI copy post-grooming</t>
  </si>
  <si>
    <t>Fios to Mobile Crossell AI tool</t>
  </si>
  <si>
    <t>New flow, feature</t>
  </si>
  <si>
    <t>https://www.figma.com/design/EoyLshJHbLrKIWAbYmfDb5/AI-Recommender---AAL?node-id=6245-42033&amp;p=f&amp;t=0So9BmVmkbUKGGje-0</t>
  </si>
  <si>
    <t>https://www.verizon.com/discounts/phone-home-internet-bundle/</t>
  </si>
  <si>
    <t>Abby Nanquil, Brian Swift, Nicole Vadon</t>
  </si>
  <si>
    <t>- Copy for new req's
- Sharing VDS guidelines w stakeholders
- Copy per latest req changes
- Final? legal review</t>
  </si>
  <si>
    <t>PDP VVC Payment Option enhancements</t>
  </si>
  <si>
    <t>Purnima Kunjathoor, Nadia Chaudhry</t>
  </si>
  <si>
    <t xml:space="preserve">- CMI brief submitted
- Identified opps. for testing
- Logic &amp; copy for $100 off in cart
- Reco for credit amount treatment and where charge/credit appear </t>
  </si>
  <si>
    <t>NGD PDP: Flex Upgrade</t>
  </si>
  <si>
    <t>New feature</t>
  </si>
  <si>
    <t xml:space="preserve">UX writing &amp; design collab, </t>
  </si>
  <si>
    <t>https://www.figma.com/design/6t3jshokh1SaBs2XBCtabP/NGDUP--Anytime-Upgrade?node-id=11-3915&amp;p=f&amp;t=bEjMYXz9TpYVdc4n-0</t>
  </si>
  <si>
    <t>Jada Benjamin, Kevin Dixon</t>
  </si>
  <si>
    <t>- process/logic deck related w/ JJ
- CMI 
- Summarizing CMI results
- Initial thought-starters</t>
  </si>
  <si>
    <t>covering for JJ while OOO</t>
  </si>
  <si>
    <t>Unlocked offers - section subtitle</t>
  </si>
  <si>
    <t>Content only</t>
  </si>
  <si>
    <t xml:space="preserve">UX writing </t>
  </si>
  <si>
    <t>McKenna Flanary, JJ, Jae</t>
  </si>
  <si>
    <t>- consulted w/ Jae &amp; JJ</t>
  </si>
  <si>
    <t>Ad hoc Indiana Qs</t>
  </si>
  <si>
    <t>https://www.figma.com/design/FR7P4Q9xGmDIGz2DkEZvpH/Indiana-Buy-Flow-01?node-id=2907-2756&amp;p=f&amp;t=Fde2ROkCowTyC003-0</t>
  </si>
  <si>
    <t>Steven Weintraub</t>
  </si>
  <si>
    <t>NGD Shop Notifications</t>
  </si>
  <si>
    <t>Standards &amp; governance, UX writing, structured content, maintenance</t>
  </si>
  <si>
    <t>https://www.figma.com/design/nlazIeYTvc8wgUX4xoZ0kP/NGD-PDP---documentation?node-id=14270-15312&amp;p=f&amp;t=ACR0rvExfnB4pQJD-0</t>
  </si>
  <si>
    <t>https://docs.google.com/spreadsheets/d/1KSHSZjEiohMsqx8ZjzuHZ6t5wp_Bsw4Jtk-X7zlwbS0/edit?gid=0#gid=0</t>
  </si>
  <si>
    <t>Yogesh Sharma, Simranjit Naru, Sumit Gabhane</t>
  </si>
  <si>
    <t>NGD PDP MVT RTM testing - pricing model etc.</t>
  </si>
  <si>
    <t>Content direction &amp; planning</t>
  </si>
  <si>
    <t>Reema Sampat, Victoria Surace, Nadia Chaudhry</t>
  </si>
  <si>
    <t>- Recos for PDP button CTA
- Recos for PDP Compare tool button CTAs</t>
  </si>
  <si>
    <t>NGD PDP Offer Choice presentment</t>
  </si>
  <si>
    <t>Yogesh, Brian, Nora, Jill Parnell</t>
  </si>
  <si>
    <t>NGD AAL Cart: VVC &amp; Totals</t>
  </si>
  <si>
    <t>Redesign</t>
  </si>
  <si>
    <t>Content direction &amp; planning, Information Architecture,
UX writing &amp; design collab</t>
  </si>
  <si>
    <t>https://www.figma.com/design/YohnXhRWpV2VblbWUEUMF2/NGD-AAL?node-id=5752-6849&amp;t=1eRLeaoEg7RobGli-0</t>
  </si>
  <si>
    <t>Buy</t>
  </si>
  <si>
    <t>Elyssa Johnson, Zac Lasher, Purnima Kunjathoor, Anne Siotka, Ann Lebold</t>
  </si>
  <si>
    <t>moved to Jae</t>
  </si>
  <si>
    <t>NGD Browse: Plans First</t>
  </si>
  <si>
    <t>New flow</t>
  </si>
  <si>
    <t>https://www.figma.com/design/blIEnL3ggvLkQIq8V8UIJf/Plans-First?node-id=2216-27110&amp;p=f&amp;t=wWlUxinXuvsZQEem-0</t>
  </si>
  <si>
    <t>Elyssa Johnson, Amanda Mastrella, Kevin Dixon</t>
  </si>
  <si>
    <t>NGD Browse: Homepage to QV/config</t>
  </si>
  <si>
    <t>Redesigned flow</t>
  </si>
  <si>
    <t xml:space="preserve">UX writing &amp; design collab, structured content </t>
  </si>
  <si>
    <t>https://www.figma.com/design/6Nzlcs7znwuWAG2rcQEdAu/Homepage-to-Cart-Explorations?node-id=4-52198&amp;p=f&amp;t=ECLUhnjApDMQ6cOC-0</t>
  </si>
  <si>
    <t>Abby Nanquil</t>
  </si>
  <si>
    <t>- Req's change; met w/ Abby
- Updated TILA to latest</t>
  </si>
  <si>
    <t>NGD Config: Elvis/TILA related</t>
  </si>
  <si>
    <t>On hold</t>
  </si>
  <si>
    <t>UX writing, structured content</t>
  </si>
  <si>
    <t>https://www.figma.com/design/DwEIgqRpOtHReHSttHFnIC/Unified-Pricing-Copy-Variants?node-id=439-26808&amp;p=f&amp;t=bzVg9MeVrnrdRhH1-0</t>
  </si>
  <si>
    <t>Elvis + NGD / PDP Compare</t>
  </si>
  <si>
    <t>Content direction &amp; planning, UX writing &amp; design collab, structured content, IA, standards &amp; gov</t>
  </si>
  <si>
    <t>https://www.figma.com/design/fTZI509zY4N4ukxHbY2mpC/NGD-%2B-Elvis?node-id=0-1&amp;t=94J06Fc7Av6kAS7V-1</t>
  </si>
  <si>
    <t>Elyssa Johnson, Zac Lasher, Nehal Khakharia, Jim Gildea, Purnima Kunjathoor, Anne Siotka</t>
  </si>
  <si>
    <t>- ongoing mtgs w Purnima + Elvis &amp; NGD CXO, ongoing Qs
- work sessions w Zac, Kelly, Brian &amp; Singer
- started attending recurring Elvis mtgs again
- Concepting
- First draft of content matrix
- content matrix revisions</t>
  </si>
  <si>
    <t>PDP AI compare</t>
  </si>
  <si>
    <t>Brandon Parizo, Anthony Dragonetti</t>
  </si>
  <si>
    <t>MyHome Fios offer UX writing (ad hoc)</t>
  </si>
  <si>
    <t>Amanda Zungia Mora</t>
  </si>
  <si>
    <t>Consulting ad hoc</t>
  </si>
  <si>
    <t>"Get it fast" Fulfillment</t>
  </si>
  <si>
    <t>https://www.figma.com/design/HkBH9nCunknyCRPWLC4NUu/In-store-pickup?node-id=944-22131&amp;t=C83kNfyj3WVVdI4l-1</t>
  </si>
  <si>
    <t>MVP Device Gridwalls "Get It Fast" Scenarios: On-Tile Copy Matrix</t>
  </si>
  <si>
    <t>Learn</t>
  </si>
  <si>
    <t>GWs</t>
  </si>
  <si>
    <t>Jamie Sawiki, Purnima Kunjathoor, Matt Zabita</t>
  </si>
  <si>
    <t>- Met w Jamie on new use case for pre-order
- Follwed up with Matt on tile resizing
- Attended ACT53 grooming
- Confirmed max copy on tiles
- Attended ACT53 grooming call</t>
  </si>
  <si>
    <t>- RTM test moved to January 2025</t>
  </si>
  <si>
    <t>Learn journey fixed CTA systemization</t>
  </si>
  <si>
    <t>Audit, testing, content direction &amp; planning, standard &amp; gov</t>
  </si>
  <si>
    <t>Learn journey segment: Fixed Content CTAs &amp; systemization WIP</t>
  </si>
  <si>
    <t xml:space="preserve">Amanda Mastrella, </t>
  </si>
  <si>
    <t>Re-started 10/31</t>
  </si>
  <si>
    <t>- New use cases being tested per Homepg to config testing</t>
  </si>
  <si>
    <t>also relates to NGD Recently Viewed</t>
  </si>
  <si>
    <t>RTM Mobility: PDP Multi-line Config Messaging</t>
  </si>
  <si>
    <t>UX writing</t>
  </si>
  <si>
    <t>PDP</t>
  </si>
  <si>
    <t>- New options
- Team review
- PDF creation for legal review
- New copy options based on RTM team test methodology</t>
  </si>
  <si>
    <t>- On hold</t>
  </si>
  <si>
    <t>VBG &gt; VCG traffic opportunites</t>
  </si>
  <si>
    <t>https://www.figma.com/design/Y9BYIVAgjgGhYz3T4lu0Ys/VCG-to-VBG-Traffic-Opportunities?node-id=10-6490&amp;t=GAaQfMurKtx2IPw0-1</t>
  </si>
  <si>
    <t>Ali Baker, Brian Swift</t>
  </si>
  <si>
    <t>- mtg
- ux writing</t>
  </si>
  <si>
    <t>- On hold pending PDP redesign</t>
  </si>
  <si>
    <t>BIC lump sum vs. monthly language RTM test</t>
  </si>
  <si>
    <t>https://www.figma.com/design/fniS9ofNUHPV8Dvyj0Vk6d/Lump-Sum-Savings-vs-Monthly-Discount-(PDP-%3E-NGD-Sales-Flow)?node-id=7-55563&amp;t=j3ZlvJSAoKB1A8bk-1</t>
  </si>
  <si>
    <t>Offers</t>
  </si>
  <si>
    <t>Abby Nanquil, Jill Parnell</t>
  </si>
  <si>
    <t>- ux writing, fdbk, Q for RTM</t>
  </si>
  <si>
    <t>- On hold for stabilized offers</t>
  </si>
  <si>
    <t>Admin time (DU &amp; CS team mtgs/prep, doing time, ongoing edu, etc.</t>
  </si>
  <si>
    <t>- Enrollment
- Pulse, volunteer, Intranet admin, DU, team share, % tracking 
- team share prep, intranet admin, DU, % tracking
- time tracking, % tracking, CS team mtg
- prep to share in Fri CS team mtg
- weekly content mtg: process stuff
- CXO 2025 kickoff
- CS Shop team sync
- Learn/Discover/Offers 2025 goals
- Half personal day
- Updating % tracking projects 8/9/25
- Self edu
- Volunteering</t>
  </si>
  <si>
    <t>ADD NEW ROW ABOVE THIS LINE</t>
  </si>
  <si>
    <t>Total %</t>
  </si>
  <si>
    <t>Winback</t>
  </si>
  <si>
    <t>Redesigned Flow</t>
  </si>
  <si>
    <t>UX Writing &amp; Design Collab</t>
  </si>
  <si>
    <t>https://www.figma.com/design/LOgt63A9vZlvAeqyZlI50g/Winback?node-id=2987-6208&amp;node-type=canvas&amp;t=Q0NJ0CjhfZl5v8nK-0</t>
  </si>
  <si>
    <t>N/A</t>
  </si>
  <si>
    <t>William Cheng (experience management), Kat Leznik (UX design), Luis Caracas (SOW resource), Chris Gardiner (experience management)</t>
  </si>
  <si>
    <t>Friends &amp; Family mobile flow</t>
  </si>
  <si>
    <t>Grooming</t>
  </si>
  <si>
    <t>https://www.figma.com/design/nlR6rJL6Y3PXxrBbmswM0h/Friends-and-Family-Refresh?node-id=1-3&amp;t=ctMV5vOevVm3lOyf-1</t>
  </si>
  <si>
    <t>Friends &amp; Family discount flow</t>
  </si>
  <si>
    <t>Elyssa Johnson (UX design),  Joseph Zuckerman (business intelligence), Tram Truong (experience management), Chirag Dandiwala (experience management), Prakash Karnati (SOW resource), Asutosa Sahoo (development)</t>
  </si>
  <si>
    <t>Friends &amp; Family learn page</t>
  </si>
  <si>
    <t>Redesigned page</t>
  </si>
  <si>
    <t>MVP</t>
  </si>
  <si>
    <t>https://www.figma.com/design/RdLLd6a3uCrHlwaXCU2lx8/Friends-%26-Family-Discount-LP?node-id=6-77&amp;node-type=canvas&amp;t=glMbejiYbEF8Ahfa-0</t>
  </si>
  <si>
    <t>Rachel Kistemaker</t>
  </si>
  <si>
    <t>Equifax Cashflow Insights</t>
  </si>
  <si>
    <t>New flow, page or feature</t>
  </si>
  <si>
    <t>https://www.figma.com/design/X8U9NTfDA2MINp88y6gelC/NGD-v2-6.18.24?node-id=11373-82456&amp;t=npkXbhN3PpoWjCM2-1</t>
  </si>
  <si>
    <t>Checkout flow</t>
  </si>
  <si>
    <t>Chirag Dandiwala (experience management), Jenny Villegas (business intelligence), Joseph Zuckerman (business intelligence), Kat Leznik (UX design), Kristen Terpeza (content design)</t>
  </si>
  <si>
    <t>Promo Nomenclature Research</t>
  </si>
  <si>
    <t>Reviewing discovery</t>
  </si>
  <si>
    <t>https://docs.google.com/presentation/d/1UT6OAOlhWboCvfdh5kFp5atiAgGvE858nRHWphJWHVU/edit?usp=sharing</t>
  </si>
  <si>
    <t>GW, PDP</t>
  </si>
  <si>
    <t>Kristin Terpeza (content)</t>
  </si>
  <si>
    <t>Urgency messaging discovery phase 1</t>
  </si>
  <si>
    <t>https://www.figma.com/board/Bovcxkg75CsiBKRIW1jkCV/Urgency-messaging-audit?node-id=0-1&amp;t=NzZznhPsGcmDCCeL-0</t>
  </si>
  <si>
    <t>Homepage, GW, PDP</t>
  </si>
  <si>
    <t>Kristin Terpeza, Danee Fields, Dawn Giuliano</t>
  </si>
  <si>
    <t>NGD Site Concepts &amp; Narratives 2025</t>
  </si>
  <si>
    <t>New/Redesign</t>
  </si>
  <si>
    <t>UX design exploration</t>
  </si>
  <si>
    <t>Providing feedback</t>
  </si>
  <si>
    <t>https://www.figma.com/design/4RzF7YhiSBUZkAAult2dAI/Gridwall-Initiatives-2025?node-id=0-1&amp;t=ORo0mfPSBlEKAuez-1</t>
  </si>
  <si>
    <t>Learn/Shop</t>
  </si>
  <si>
    <t>Karin Goers, Elisha Dorsey, Amanda Mastrella</t>
  </si>
  <si>
    <t>- Team mtgs
- Provided Elisha with CMI study suggestions for leadership prez deck</t>
  </si>
  <si>
    <t>Weekly QAing shop flows</t>
  </si>
  <si>
    <t>Defect</t>
  </si>
  <si>
    <t>Maintenance</t>
  </si>
  <si>
    <t>Learn/Buy</t>
  </si>
  <si>
    <t>Wayne Pleockelmann</t>
  </si>
  <si>
    <t>My Offers</t>
  </si>
  <si>
    <t>Redesigned page / feature / flow</t>
  </si>
  <si>
    <t>UX Writing &amp; Design Collab, content direction &amp; planning, structured content, information architecture</t>
  </si>
  <si>
    <t>https://www.figma.com/design/xVyRIozI4kqSrBFAbJnmlC/My-Offers-Phase-1?node-id=716-12237&amp;p=f&amp;t=p6OYeQCdFnHnnjeH-0</t>
  </si>
  <si>
    <t>https://www.figma.com/board/w9JFfpLQXuYBSoQNVvCIHE/Roll-up-offers-brainstorming?node-id=0-1&amp;p=f&amp;t=tGBupu7n5HbP1a8f-0</t>
  </si>
  <si>
    <t>My Offers page</t>
  </si>
  <si>
    <t>Brandy Bora, Andrew Dubrov, Jorich Wong, Kevin Dixon, Kat Leznick, Alexa Curtis</t>
  </si>
  <si>
    <t>NGD PDP redesign</t>
  </si>
  <si>
    <t>https://www.figma.com/design/AlGDlCz7c3oi3PlNzq6ra9/NGD-PDP-Prototypes?node-id=0-1&amp;p=f&amp;t=bmjvUCbraf278m3V-0</t>
  </si>
  <si>
    <t>Amanda Mastrella, Nadia Chaudhry, Matt Zabita, Brian Swift, Kristin Terpeza</t>
  </si>
  <si>
    <t>Flyout cart</t>
  </si>
  <si>
    <t>https://www.figma.com/design/cV8EdA8rav9L1bPRsnBKK1/Fly-out-Cart?node-id=332-15472&amp;p=f&amp;t=Fw0nZkp0fat6VMC0-0</t>
  </si>
  <si>
    <t>Switcher Tool</t>
  </si>
  <si>
    <t>New page</t>
  </si>
  <si>
    <t>PDP fulfillment nomenclature</t>
  </si>
  <si>
    <t>Brian Swift, Nadia Chaudry, Kristin Terpeza</t>
  </si>
  <si>
    <t>myPlan page redesign</t>
  </si>
  <si>
    <t>Content/UX Design</t>
  </si>
  <si>
    <t>myPlan</t>
  </si>
  <si>
    <t>Singer Cheng, Amanda Mastrella</t>
  </si>
  <si>
    <t>Service continuity agreement</t>
  </si>
  <si>
    <t>Legal document</t>
  </si>
  <si>
    <t>Kat Leznik, Lacy Kennedy</t>
  </si>
  <si>
    <t>Compare models tool</t>
  </si>
  <si>
    <t>Brian Swift, Singer Chen, David Antzelevitch</t>
  </si>
  <si>
    <t>Data visualization standardization</t>
  </si>
  <si>
    <t>Yoko Izu, Anna Jolliffe, Andrew Dubrov</t>
  </si>
  <si>
    <t>Offers playbook</t>
  </si>
  <si>
    <t>Andrew Dubrov</t>
  </si>
  <si>
    <t>QAing, proofing, data checks, grooming calls</t>
  </si>
  <si>
    <t>Ongoing for project milestones</t>
  </si>
  <si>
    <t>Compatibility checker</t>
  </si>
  <si>
    <t>JJ Wong</t>
  </si>
  <si>
    <t>General Mgmt</t>
  </si>
  <si>
    <t>NGD Multi-line</t>
  </si>
  <si>
    <t>Delegating / field comments</t>
  </si>
  <si>
    <t>https://www.figma.com/design/beJhWOIPwcHLZfSLjqypdu/NGD-Multi-line?node-id=1667-108752&amp;node-type=canvas&amp;t=FKXMEEGfO4jklgKE-0</t>
  </si>
  <si>
    <t>Learn / Buy</t>
  </si>
  <si>
    <t>Kevin Dixon, Debbie Baker, Cody Hutchins, Nikunj Marvania</t>
  </si>
  <si>
    <t>NGD Trade-in</t>
  </si>
  <si>
    <t>New Flow</t>
  </si>
  <si>
    <t>https://www.figma.com/design/FhCsZpEc3cQ85Db7Ib8ehK/NGD-Trade-in?node-id=1275-25438&amp;node-type=canvas&amp;t=GaAKSp5WXerQAs0R-0</t>
  </si>
  <si>
    <t>Elvis</t>
  </si>
  <si>
    <t>https://www.figma.com/design/na2qqI11eBhcQIPsshy1mw/Elvis---Upper-%26-Lower-Funnel?node-id=5075-5590&amp;t=lEAVYGj9z5P8Up6M-0</t>
  </si>
  <si>
    <t>Sicheng Weng</t>
  </si>
  <si>
    <t>VVC</t>
  </si>
  <si>
    <t>https://www.figma.com/design/Wd8aP365KciPipzoM7f7pg/Existing-CH---Standard-Upgrade-%2F-Early-Upgrade-(EUP)?node-id=828-182809&amp;t=uy0NCIkWpqAEpMAn-4</t>
  </si>
  <si>
    <t>Learn / Buy / Get</t>
  </si>
  <si>
    <t>NGD Empowered Service: Vision</t>
  </si>
  <si>
    <t>https://www.figma.com/design/RZN4E4nMxnBiuOs4q8LExa/NextGen-User-Journey?node-id=575-8355&amp;node-type=canvas&amp;t=Oe4Q2ZciSHYbXgzs-0</t>
  </si>
  <si>
    <t>Setup / Use / Support</t>
  </si>
  <si>
    <t>Rob Dalton, Richard Dalton, Alexa Curtis, Aric Pair, Ori Statlender, Mike Ortega, Olga Engroff</t>
  </si>
  <si>
    <t>NGD Empowered Service: Analysis</t>
  </si>
  <si>
    <t>https://docs.google.com/spreadsheets/d/1kachNhKBeEvPvU3YtD-kKBa-eRZovEKPdBRpKMiU0Ps/edit?gid=593868678#gid=593868678</t>
  </si>
  <si>
    <t>Rob Dalton, Aric Pair, Ori Statlender, Mike Ortega, Olga Engroff</t>
  </si>
  <si>
    <t>- Setup/Use/Support Feature catalogue almost complete
- Tier 1 Questions: Found</t>
  </si>
  <si>
    <t>NGD Empowered Service: BAU</t>
  </si>
  <si>
    <t>Delegating / field comments: Content direction &amp; planning</t>
  </si>
  <si>
    <t>Pay off your Phone</t>
  </si>
  <si>
    <t>https://www.figma.com/design/7wF2dwHpB6btxH8EsZXx4f/Pay-Off-Your-Phone?node-id=24-32308&amp;node-type=frame&amp;t=GwlrJyWh5VSdHi7s-0</t>
  </si>
  <si>
    <t>Sicheng Weng, Alex Cimiluca</t>
  </si>
  <si>
    <t>Wishlist Enhancements</t>
  </si>
  <si>
    <t>Wi-Fi Backup Escalation</t>
  </si>
  <si>
    <t>NGD Tile Recommendations</t>
  </si>
  <si>
    <t>Content direction / writing</t>
  </si>
  <si>
    <t>https://www.figma.com/design/RzOONguc1kXTc3rkEkOpN1/NGD-design-updates---Badging%2Frecommendation%2Fperk-upsell?node-id=92-1456&amp;p=f&amp;t=sd5DElYtA9H4omkK-0</t>
  </si>
  <si>
    <t>Total</t>
  </si>
  <si>
    <t>Jae Shin</t>
  </si>
  <si>
    <t>Defect log</t>
  </si>
  <si>
    <t>Content/UX Writing</t>
  </si>
  <si>
    <t>Updating copy for a few defect messaging</t>
  </si>
  <si>
    <t>https://onejira.verizon.com/browse/PRODDEF-35279</t>
  </si>
  <si>
    <t>Karina Monegro</t>
  </si>
  <si>
    <t>-Updated defect messaging to help customers understand what's going on and actions they can take for next step.</t>
  </si>
  <si>
    <t>Content audit</t>
  </si>
  <si>
    <t>Kevin Dixon, Kelly Choe, Zac Lasher</t>
  </si>
  <si>
    <t>2024 Abandon Cart Execution Program</t>
  </si>
  <si>
    <t>https://www.figma.com/design/yG6pzjed3ynF3Ntwt3Yzvb/2024-Abandon-Cart-Execution-Program?t=E1ppO2dQ4AFlxrwJ-0</t>
  </si>
  <si>
    <t>Elyssa, Kelly</t>
  </si>
  <si>
    <t>Currently reviewing the content and roadmap</t>
  </si>
  <si>
    <t>NGD E2E Path</t>
  </si>
  <si>
    <t>https://www.figma.com/design/bh5tEmgYZvH4AhsXcKnJys/NGD---E2E-Paths?node-id=0-1&amp;node-type=canvas&amp;t=ipVm0vniAgMna40e-0</t>
  </si>
  <si>
    <t>Amanda, Abby, Kelly</t>
  </si>
  <si>
    <t>Verizon Visa Card</t>
  </si>
  <si>
    <t>https://www.figma.com/design/Wd8aP365KciPipzoM7f7pg/Existing-CH---Standard-Upgrade-%2F-Early-Upgrade-(EUP)?t=E1ppO2dQ4AFlxrwJ-0</t>
  </si>
  <si>
    <t>Brian Mann</t>
  </si>
  <si>
    <t>Working with Compliance team and Product team to get the copy approved for device upgrade when using VVC</t>
  </si>
  <si>
    <t>NGD Buy Content Audit</t>
  </si>
  <si>
    <t>Zac Lasher</t>
  </si>
  <si>
    <t>Kyle Kohloff</t>
  </si>
  <si>
    <t>My Orders Delivery Exceptions</t>
  </si>
  <si>
    <t>https://www.figma.com/design/KlksafyON1LUfZeTPc2uGy/Undeliverable-Orders-%26-Tracking-Research?node-id=297-191565&amp;node-type=canvas&amp;t=fdkC7q2xvojj6fFc-0</t>
  </si>
  <si>
    <t>Get</t>
  </si>
  <si>
    <t>Daniel Newman, Jada Benjamin, Isabella Dahl</t>
  </si>
  <si>
    <t>- Continued refinement of messaging for each unique concept</t>
  </si>
  <si>
    <t>My Order Tile Standardization</t>
  </si>
  <si>
    <t>https://www.figma.com/design/dXpjUNPquFQOhP0FJvieO4/Order-Tile-Standardization?node-id=10-51844&amp;node-type=canvas&amp;t=MFSxzgP3ASlHhVDX-0</t>
  </si>
  <si>
    <t>Reviewed standardization spreadsheet for copy feedback and clarification</t>
  </si>
  <si>
    <t>NGD Quick Shop Audit</t>
  </si>
  <si>
    <t>https://www.figma.com/design/zYrc0qTDr9Pus5lgFPlS2X/Quick-Shop-Trade-in?node-id=127-9248&amp;node-type=section&amp;t=LWZL8JJIjxpXAApD-0</t>
  </si>
  <si>
    <t>No new content requests - only covering for M/W/F syncs</t>
  </si>
  <si>
    <t>NGD Multi-line/Trade</t>
  </si>
  <si>
    <t>Numerous enhancements</t>
  </si>
  <si>
    <t>Port-in</t>
  </si>
  <si>
    <t>UX writing &amp; design collaboration</t>
  </si>
  <si>
    <t>https://www.figma.com/design/dOVOV8J8MJ8ZdaR69YVlr7/Port?node-id=429-14087&amp;node-type=canvas&amp;t=DSQlkaFrZdBHvWLu-0</t>
  </si>
  <si>
    <t>Kat Leznik, Lena A Affaneh</t>
  </si>
  <si>
    <t>Finalizing number transfer error messaging</t>
  </si>
  <si>
    <t>Completed</t>
  </si>
  <si>
    <t>Round Up</t>
  </si>
  <si>
    <t>https://www.figma.com/design/2iTaHeRNnajDPrKUU1XZq9/Round-Up-Project?node-id=25-4177&amp;node-type=canvas&amp;t=K0qzBjgeRu5KZ6xd-0</t>
  </si>
  <si>
    <t>Sean Joseph</t>
  </si>
  <si>
    <t>Revised messaging after sync with additional Content Strategist + Design to align across the experience</t>
  </si>
  <si>
    <t>39” Discovery Tool</t>
  </si>
  <si>
    <t>https://www.figma.com/design/gnwxHLU7n7Snsh3E0Xw0XU/Project-IVY-39-inch?node-id=1-2&amp;node-type=canvas&amp;t=gb7wJhXEt96egv4W-0</t>
  </si>
  <si>
    <t>Retail</t>
  </si>
  <si>
    <t>Del Melendez, Jeff Mariano, Kevin Bholanauth, Allison McKaney</t>
  </si>
  <si>
    <t>Reviewing all content throughout 39" Discovery experience + intro to Project Ivy</t>
  </si>
  <si>
    <t>Completion by EOD 11/21</t>
  </si>
  <si>
    <t>15” Protection Zone</t>
  </si>
  <si>
    <t>https://www.figma.com/design/7wzX70tPG5EyPEeQd0UhSw/15%22-Protection-Zone-Prototype---Design?node-id=3-602&amp;node-type=canvas&amp;t=tsmAL6oIJyFWBe1Y-0</t>
  </si>
  <si>
    <t>Hera Lopez, Dennis Harris</t>
  </si>
  <si>
    <t>Updating messaging per legal/product feedback</t>
  </si>
  <si>
    <t>Completed content updates per legal and SH review</t>
  </si>
  <si>
    <t>Corporate Social Responsibility</t>
  </si>
  <si>
    <t>https://docs.google.com/document/d/1CudWS4bGZCjEAIBxxmd0QQFd2AYAx33PoUY2VCBDpts/edit</t>
  </si>
  <si>
    <t>Hera Lopez, Dennis Harris, Deirdre Robinson</t>
  </si>
  <si>
    <t>Addressed additional feedback from leadership</t>
  </si>
  <si>
    <t>MVA Post-Visit</t>
  </si>
  <si>
    <t>https://www.figma.com/design/0zzymKJUTgMwFelxt9wqKF/Arrival---Check-in-Kiosk-Designs?node-id=3707-5156&amp;node-type=frame&amp;t=J8vXvoTtPaYbM3rj-0</t>
  </si>
  <si>
    <t>Ganesh Vasudevan</t>
  </si>
  <si>
    <t>Small enhancements to visit summary tiles</t>
  </si>
  <si>
    <t>Arrival Kiosk Intents, Trade-in, Adaptive Auth</t>
  </si>
  <si>
    <t>Structured content</t>
  </si>
  <si>
    <t>David Hunter, Devorah Saturen</t>
  </si>
  <si>
    <t>- Finalizing adaptive authentication flows &amp; messaging as next steps in post-visit experience
- Enhanced customer intents launched in stores</t>
  </si>
  <si>
    <t>Intent is to revise "reasons for visit" classification, hierarchy and nomenclature</t>
  </si>
  <si>
    <t>Upgrade Payoff Flow</t>
  </si>
  <si>
    <t>https://www.figma.com/design/LFyC6U7ed8gnUbxAROuEEh/Pay-Off-Flows-for-Upgrade?node-id=1-205365&amp;node-type=canvas&amp;t=MqBTv1IVo6QwBADE-0</t>
  </si>
  <si>
    <t>Chirag Patel, Martin Hernandez</t>
  </si>
  <si>
    <t>One-Click Upgrade</t>
  </si>
  <si>
    <t>https://www.figma.com/design/1BWmMRLzLYfzuSlmsRFn7g/One-Click-Upgrade?node-id=12609-43450&amp;node-type=canvas&amp;t=7BDckpOVeNCJ48AW-0</t>
  </si>
  <si>
    <t>Sabrina Syed/Jada Benjamin</t>
  </si>
  <si>
    <t>- Provided messaging for additional use cases (account-level plan upgrades/multi-line)</t>
  </si>
  <si>
    <t>BYOD</t>
  </si>
  <si>
    <t>Luis Caracas</t>
  </si>
  <si>
    <t>- Provided additional enhancments to offer tiles for BYOD</t>
  </si>
  <si>
    <t>Holiday Offers 2024/Trade-in offer tiles</t>
  </si>
  <si>
    <t>https://www.figma.com/design/cQQUN2g7LnQ4TQD8pzvADF/Holiday-Offers-2024?t=w3yE1JomMuohlYcJ-0#1026947242</t>
  </si>
  <si>
    <t>https://www.figma.com/design/bFNBbjXtQgjktyWZaqEPnq/BAU-Future-Enhancements?node-id=829-113376&amp;node-type=canvas&amp;t=lx7rvWoJ4DWfDCTP-0</t>
  </si>
  <si>
    <t>Martin Hernandez</t>
  </si>
  <si>
    <t>BAU explorations for trade-in offer tile use cases where plans aren't compatible w/trade offer values</t>
  </si>
  <si>
    <t>Trade Anywhere</t>
  </si>
  <si>
    <t>https://www.figma.com/design/0fujIlkaJ5qC2g8uGFDDcH/Trade-Anywhere?node-id=634-7676&amp;node-type=canvas&amp;t=4au2z8EZO4AARRo0-0</t>
  </si>
  <si>
    <t>Matt Zabita</t>
  </si>
  <si>
    <t>Final legal review approved</t>
  </si>
  <si>
    <t xml:space="preserve">Bill Pay Kiosk </t>
  </si>
  <si>
    <t>Content direction &amp; planning
Content audit</t>
  </si>
  <si>
    <t>https://www.figma.com/design/bYvHlqTQN966zEF7s9hlXm/BPK-Design?node-id=0-1&amp;node-type=canvas&amp;t=acFfkSVn3M9sA37w-0</t>
  </si>
  <si>
    <t xml:space="preserve">Gail Rankin </t>
  </si>
  <si>
    <t>Continued through additional flows for Scan &amp; Go and combo orders</t>
  </si>
  <si>
    <t>Multi-Product Gridwall</t>
  </si>
  <si>
    <t>On hold for now</t>
  </si>
  <si>
    <t>Pro On the Go</t>
  </si>
  <si>
    <t>https://www.figma.com/design/Q7iJpjbBgWEp7oJSaGiVHO/Pro-on-the-go---POTG?node-id=2000-83945&amp;t=wUxFK3WsCvIq2PjI-0</t>
  </si>
  <si>
    <t>Pablo Patino</t>
  </si>
  <si>
    <t>T-60 Refinement 2025</t>
  </si>
  <si>
    <t>https://www.figma.com/design/glXLgyvdEiYEhRZHttBAxV/T-60-Refinement-2025?node-id=3-12&amp;p=f&amp;t=JUGL5JEucjPtn2pN-0</t>
  </si>
  <si>
    <t>Jada Benjamin</t>
  </si>
  <si>
    <t>Provided messaging for initial use cases</t>
  </si>
  <si>
    <t>Store Detail page redesign</t>
  </si>
  <si>
    <t>Content direction &amp; planning/IA</t>
  </si>
  <si>
    <t>https://docs.google.com/presentation/d/128Ut7d2LgWmIs_jJjbGgQUQ_Z-QEK2hqf34dg6ENK48/edit#slide=id.g2d8cd35410c_0_289</t>
  </si>
  <si>
    <t>Store detail pages on MVO/MVA</t>
  </si>
  <si>
    <t>Devorah Saturen</t>
  </si>
  <si>
    <t>Additional meetings to align teams for next steps</t>
  </si>
  <si>
    <t>Redeisgn of VZ store details pages + store landing page</t>
  </si>
  <si>
    <t>Fios Self-Serve Kiosk</t>
  </si>
  <si>
    <t>https://www.figma.com/design/OSDtRGKBILwp04uohJTCQG/FSS-Discovery?node-id=2251-160377&amp;t=97H7qGM2gzTv4i0V-0</t>
  </si>
  <si>
    <t>Jason Lewkowicz</t>
  </si>
  <si>
    <t>Completed initial prototype for testing</t>
  </si>
  <si>
    <t>Currently w/CMI for testing.</t>
  </si>
  <si>
    <t>Jessica Leshnoff-Beatty</t>
  </si>
  <si>
    <t>Second Number Perk</t>
  </si>
  <si>
    <t>https://www.figma.com/design/0MH2G4MdmpRmAIcoat8mNy/Second-Number-as-a-Perk?node-id=2414-30124&amp;p=f&amp;t=Q6nXMX0jbiNpvZmb-0#1120078819</t>
  </si>
  <si>
    <t>Upcoming testing TBD</t>
  </si>
  <si>
    <t>Port Later</t>
  </si>
  <si>
    <t xml:space="preserve">Enhancement </t>
  </si>
  <si>
    <t>https://www.figma.com/design/anY7CwOrX9GbN7H3H3zUhF/Port-Later-Optimization-Testing?node-id=909-5993&amp;node-type=canvas&amp;t=KdkWhfjdWBsDHKlS-0</t>
  </si>
  <si>
    <t>Phase 1 deliverables complete; testing date TBD</t>
  </si>
  <si>
    <t>Content Design</t>
  </si>
  <si>
    <t>Project Type</t>
  </si>
  <si>
    <t>Impact</t>
  </si>
  <si>
    <t>RTM Cart Urgency</t>
  </si>
  <si>
    <t>https://www.figma.com/design/9LHd6tsLTNJoPGKyZO0ldy/RTM_Cart-Urgency-NEW?node-id=0-1&amp;node-type=canvas&amp;t=T8kGeUBsewsH9eF5-0</t>
  </si>
  <si>
    <t>https://docs.google.com/presentation/d/1QCb6XMFmkAmS_AjcwPA77QsI_s66LPD_7_p5XIiAlaQ/edit#slide=id.g30c21246255_0_269</t>
  </si>
  <si>
    <t>PDP / Cart</t>
  </si>
  <si>
    <t>Juan Coello</t>
  </si>
  <si>
    <t>Domain</t>
  </si>
  <si>
    <t>Impacted Pages</t>
  </si>
  <si>
    <t>Project Phase</t>
  </si>
  <si>
    <t>Last Updated</t>
  </si>
  <si>
    <t>International Dashboard</t>
  </si>
  <si>
    <t>Prepaid</t>
  </si>
  <si>
    <t>Net New</t>
  </si>
  <si>
    <t>Stakeholder Review</t>
  </si>
  <si>
    <t>https://www.figma.com/design/lWTgP5shGOuLBILhHa6h3h/Prepaid-International-Dashboard-%7C-July-2024?t=jNDN8ZL3v3Rmnuwd-0</t>
  </si>
  <si>
    <t>-Revamped the copy for dashboard
-Restructured the IA for locations to be more prominent</t>
  </si>
  <si>
    <t>Currently helping mitigate all feedback from PMM and Legal.</t>
  </si>
  <si>
    <t>Monarch Plan Alignment</t>
  </si>
  <si>
    <t>Prepaid Plans Page</t>
  </si>
  <si>
    <t>Legal Review</t>
  </si>
  <si>
    <t>https://www.figma.com/design/PBmtoFqzOmkA5wkJsCxA2s/Monarch---Verizon-Prepaid-Plans-Page-Revamp?t=pCqrczOHZL7MNQbn-0</t>
  </si>
  <si>
    <t>-Reorganized the Information Architecture to display Original price vs. Discounted price -Revamped the copy for plans</t>
  </si>
  <si>
    <t xml:space="preserve">
</t>
  </si>
  <si>
    <t>Project Fandom</t>
  </si>
  <si>
    <t>Device Activation</t>
  </si>
  <si>
    <t>https://www.figma.com/design/GxiMmHJeQLKa2QrWpEUwUQ/Project-Fandom?t=pCqrczOHZL7MNQbn-0</t>
  </si>
  <si>
    <t>-Reworking the email comms with OneMessage
-Organizing the UX flow and screen hierarchy to be consistent</t>
  </si>
  <si>
    <t>Activate &amp; Switch 2024</t>
  </si>
  <si>
    <t>https://www.figma.com/design/pySjSHcZ0YRTpniECRD2ZD/Activate-%26-Switch-2024?node-id=4602-3255&amp;t=QO1FG9f6rLO6cJCN-4</t>
  </si>
  <si>
    <t>-Revamped the copy</t>
  </si>
  <si>
    <t>Smart Setup</t>
  </si>
  <si>
    <t>Smart Setup Landing Page</t>
  </si>
  <si>
    <t>https://www.figma.com/design/R4GhVdgXAXr0oOqwEUxaEw/SmartSetup_Backup?t=UW5JnDjbrLdc777H-0</t>
  </si>
  <si>
    <t>-Revamped the copy to align with Monarch Design.</t>
  </si>
  <si>
    <t>Activate &amp; Switch 2025</t>
  </si>
  <si>
    <t>Expt Manager Review</t>
  </si>
  <si>
    <t>-Help provide Content support</t>
  </si>
  <si>
    <t xml:space="preserve">JS </t>
  </si>
  <si>
    <t>Prepaid Content Audit</t>
  </si>
  <si>
    <t>tbd</t>
  </si>
  <si>
    <t>Work</t>
  </si>
  <si>
    <t xml:space="preserve">Assignment/Special Notes </t>
  </si>
  <si>
    <t>Business partners</t>
  </si>
  <si>
    <t>Weekly Accomplishments</t>
  </si>
  <si>
    <t>Last updated</t>
  </si>
  <si>
    <t>Process</t>
  </si>
  <si>
    <t xml:space="preserve">DOB </t>
  </si>
  <si>
    <t xml:space="preserve">Started updating port tiles across several new single and multi-line scenarios, including personalized link expiration, value brand ports; incorporating Monarch voice/tone, reducing cognitive load, etc.  
Cont. Auto Pay tile audit to make messaging more value-forward (savings-first)
</t>
  </si>
  <si>
    <t>Thursdays Weekly: Update Percentage</t>
  </si>
  <si>
    <t>RTM</t>
  </si>
  <si>
    <t>PDP Sales Agent, phase 2 - new content iterations
.</t>
  </si>
  <si>
    <t xml:space="preserve">Year in Review </t>
  </si>
  <si>
    <t>Brand continuing to review RCS/push notifications</t>
  </si>
  <si>
    <t>As accomplishments occur add them</t>
  </si>
  <si>
    <t>MVA share location screen - iOS &amp; Android (helping Allison)</t>
  </si>
  <si>
    <t xml:space="preserve">Prompted by new state requirements
Initial ask: update per legal and shorten; took opportunity to streamline and clarify overall content
Updated hierarchy to highlight customer benefits while maintaining legal accuracy 
Also updated iOS introductory screen
Resolved dev/content misalignment re: Apple’s “When in Use + Always” behavior to ensure copy reflects the intended flow
Approved by legal and translated </t>
  </si>
  <si>
    <t>At start of each month, move your row into the archive</t>
  </si>
  <si>
    <t>Work Share</t>
  </si>
  <si>
    <t>Process - Monarch</t>
  </si>
  <si>
    <t>Delivery of MAC stuff</t>
  </si>
  <si>
    <t>How do we contextually fit that into our experience</t>
  </si>
  <si>
    <t>Selected Works</t>
  </si>
  <si>
    <t>Ask</t>
  </si>
  <si>
    <t>Output</t>
  </si>
  <si>
    <t>Updated</t>
  </si>
  <si>
    <t>myAccess</t>
  </si>
  <si>
    <t>0% for the forseeable future</t>
  </si>
  <si>
    <t>Digital Onboarding</t>
  </si>
  <si>
    <t xml:space="preserve">Week of 10/28: Progress content updates for multiline accounts; discount tile content; KO for rebate tiles </t>
  </si>
  <si>
    <t>DOB</t>
  </si>
  <si>
    <t>Continued tile creation for various onboarding scenarios: switching Auto Pay payment method for paper-free scenarios; trade-in value adjusted; Verizon Cloud free trial ending; offer disqualification due to failure to complete port-in.</t>
  </si>
  <si>
    <t>Local Pass modal</t>
  </si>
  <si>
    <t>Continued tile creation for various onboarding scenarios: in-app rebates; trade-in value adjusted; Verizon Cloud free trial ending. KO FWA tiles.</t>
  </si>
  <si>
    <t>Continued tile creation for various onboarding scenarios: Verizon Family Plus; Promo Status (Happy path); Digital Correction Tool - Trade in (chatbot for trade promos); FWA discovery cont.</t>
  </si>
  <si>
    <t xml:space="preserve">Product expansion: FWA 
-Tile creation for happy/unhappy path C-Band and Millimeter Wave (both 5G) self-install and professional setup scenarios.
-KO discussion regarding users that don’t set up FWA within 30 days (service cancellation). 
-Content exploration/creation: Activation fee explanation within first bill tile. </t>
  </si>
  <si>
    <t>-Content refinement for FWA setup fail tiles ("Schedule pro setup" now "Get help")
-Contrent creation: FWA service cancellation tile, offer disqualification, Whole-Home WiFi (revolves around extenders: redeem/set up/fail)
-Content exploration KO: FWA service cancellation &amp; generic progress content that covers both FWA/mobile customers</t>
  </si>
  <si>
    <t>FWA content refinement/creation: 
Whole-Home WiFi &amp; Whole-Home Wi-Fi Plus extender tiles: redemption &amp; setup
Progress copy revisions 
Urgent legal request: VVC card</t>
  </si>
  <si>
    <t>FWA content revisions per FWA team: removed 30-day countdown from Home Internet setup tiles
Removed 30-day cancellation tile &amp; Wi-Fi extender setup tiles
Discovery KO for post-FWA setup experience
Reviewed WIP post-100% experience; pitched idea of cont. engagement via customer check in (e.g. "How are things going?/Need any help?")</t>
  </si>
  <si>
    <t>Tile creation:
FWA - manage internet once setup complete
Offer disqualification</t>
  </si>
  <si>
    <t>Content revision &amp; creation, then sent to legal: 
FWA - manage internet once setup complete
FWA - Post-setup notification back to DOB within FWA post-setup onboarding flow
Offer disqualification content creation cont.</t>
  </si>
  <si>
    <t xml:space="preserve">Legal revisions: Offer disqualification 
Onboarding with Alexa's team </t>
  </si>
  <si>
    <t>KO Discovery for VBM vs. DOB research (which language is most resonating with users)
Content support for DOB leadership presentation 
Content creation: device &amp; mobile protection</t>
  </si>
  <si>
    <t>Content creation: Prequalified Verizon Visa Card (sent to legal), Promo removed for DPP buyout (sent to legal) &amp; DOB - Promo disqualification - disconnected line (not sent to legal yet)
Content creation cont: device &amp; mobile protection (sent to legal)
Sandra gathering info for VBM content vs. DOB research 
Cont. onboarding with Alexa's team</t>
  </si>
  <si>
    <t xml:space="preserve">DOB experience reviews (single line FWA) with Alexa's team &amp; Steve Murray
Potential content updates associated with reviews
Content creation: offer disqualification due to line disconnection (sent to legal); Verizon Mobile Protect (single &amp; mutli-device) cont; KO for FWA pro setup revisions; KO for upsell mobile for FWA-only customers </t>
  </si>
  <si>
    <t xml:space="preserve">Cont. DOB experience reviews (single line FWA) with Alexa's team &amp; Steve Murray
FPO FWA content updates per reviews - presented 2/11
Cont. FWA content revisions (per reviews), sent to legal 2/13
Creating new user stories re: Steve's requested updates with Alan Kopacz (Bill tab)  
KO "order on hold" tiles </t>
  </si>
  <si>
    <t xml:space="preserve">Project intro 2/11; Content KO 2/17 </t>
  </si>
  <si>
    <t>-Billing tiles created, refined, sent to legal &amp; legally approved (Auto Pay - update payment method to receive discount; paper-free billing w/o Auto Pay discount info; bill esimate update (amount included); upgrade fee) 
-Order status tiles created, refined, sent to legal &amp; legally approved (various "order on hold" and "order canceled" scenarios) 
-Content iteration for multi-device testing</t>
  </si>
  <si>
    <t>Content KO; worked with Olivia to identify content needs; began content review</t>
  </si>
  <si>
    <t>-Gathering data/writing CMI research brief to investigate DOB vs. VBM content
-KO XL user story to update Discovery tile (DOB entry point) with rotating, highly engaging content that encourages customers to come back to DOB and complete various tasks and various stages of completion
-KO Verizon Cloud tile update - leading with free trial
-Revising missed Pro on the Go delivery/setup tile (We learned that customers that when a customer misses appt., we actually cancel their entire order (!?) and customer must re-purchase device and reschedule appt.) 
-Engaged Andy re: mild legal quandry, awaiting his response</t>
  </si>
  <si>
    <t xml:space="preserve">Cont. content review; coordinating with Andy for Monarch principles to incorporate into guide  </t>
  </si>
  <si>
    <t>-DOB vs. VBM CMI content testing: refined &amp; completed research brief; KO creation testing materials
-Updated Verizon Cloud tile content &amp; received legal approval
-Updated missed Pro on the Go tile &amp; received legal approval
-Provided rationale to legal for proposed revision to one-time upgrade fee tile; received legal approval  
-Iterating new content ideas with design for upcoming CMI testing
-KO discussions wtih Andy re: Monarch-inspired content for Discover tab DOB reengagement; going to reach out to Anna &amp; Lynette to discuss</t>
  </si>
  <si>
    <t>Monarch Design Guide content review/refinement/creation</t>
  </si>
  <si>
    <t>-KO huge DOB user story: DOB - Discover Tab Tile Entry Point Enhancement 25%
-Finalizing DOB vs. VBM CMI content testing material; meeting with research Monday to finalize
-Cont. Pro on the Go tile refinement
-Content creation for Trade-In: Offer Removal; submitted to legal
-Updated Device Activated Failed tile to align with FWA Setup Failed
-KO tutorial module content</t>
  </si>
  <si>
    <t>Joined Monarch Content Strategy group (Anna, Sam, Andy, Kent Szlauderbach); KO discussions &amp; material review</t>
  </si>
  <si>
    <t>-Tutorial module content creation &amp; refinement
-Content ideation - Discover Tab Tile Entry Point Enhancement 25%
-CMI content testing: DOB vs. VBM 
     -Testing stimuli finalized; received alignment from team
     -Research plan created and approved
     -Full study launch 3/28-3/31; Report readabout 4/9
-Cont. tile creation/refinement (Pro On the Go, offer disqualifications)</t>
  </si>
  <si>
    <t>Monarch Content Strategy -  Cont. discussions &amp; material review</t>
  </si>
  <si>
    <t>Start of the week: Content ideation - Discover Tab Tile Entry Point Enhancement 25%
By mid-week, user stories for 5/7 release were reprioritized, now focusing on navigational (bottom sheets), progress content, device-oriented tiles
  ~30 content asks due by EOD 4/2; updating spreadsheet as I go so device business partner can start grooming stories and get legal approval 
Finalized CMI content testing: DOB vs. VBM 
  -Full study launch 3/28-3/31; Report readabout 4/9</t>
  </si>
  <si>
    <t>Monarch Content Strategy - Cont. discussions &amp; material review</t>
  </si>
  <si>
    <t xml:space="preserve">
Content creation/ideation/revisions for 5/7 launch
-Progress copy - 25%, 50%, 75% &amp; 100% (static) 
-introductory bottom sheets for customers entering DOB at 25%, 50-75% &amp; 100%
-Bottom sheets for each task completion 
-Bottom sheet for 100% account setup
- Tile review/revisions for mobile - single line &amp; mobile - multi-line 
- Tile review/revisions for FWA 
- Marketing tile review</t>
  </si>
  <si>
    <t xml:space="preserve">New content sent to legal for May 25th multi-line handoff. 
-New copy for progress indicators and bottom sheets orients customers to DOB and walks them through next steps.
-Static headline ( “Account setup”) added throughout the setup flow to anchor customers as they move through steps.
-100% bottom sheet and post-100% static progress area conten encourages reengagement without feeling like a sales push.
-Language follows evolving Monarch CX style: real, everyday language that’s warm and encouraging. 
-Hero tiles updated to highlight key actions first, with progress indicators and helpful context.
CMI research DOB vs. VBM content readout on 4/10 provided strong insights: 
-DOB hero tiles outperformed VBM language, resonating with users on tone, empathy and clarity. 
-Secondary tiles, however, need work on tone, terminology and access to key information. </t>
  </si>
  <si>
    <t>-Cont. content creation/ideation/revision for mutli-line handoff
-Rush leadership ask: Exisiting customer, add a line - new content ASAP
-Rush request, Tina: remove all mentions of "account setup," revised content needed ASAP</t>
  </si>
  <si>
    <t>-Rush leadership ask: Pathfinder, Me tab entry point - Exisiting &amp; new customers 
-Rush leadership ask: Exisiting customer, add a line
-Cont. content creation/ideation/revision for mutli-line handoff</t>
  </si>
  <si>
    <t xml:space="preserve">Plan tab: Perk setup - Strategic content to help customers understand what perks (and services) are, then set them up:
-Thumbnails
-Nuanced language: “Purchased” and  “with your plan,” e.g. something you bought and bought with your plan, i.e. an add-on, not as a a part of it
-Calling out “services,” aligning with setup flow, but also differentiating perks vs. services 
-Hoping GTS can call out how many services and/or how many perks vs. just one generic word (“products”) referring to both
Pathfinder entry point: Finalizing content for new and existing customers 
Re-engagement after customers reach 100% is the most challenging aspect of this; leaning on attention-grabbing, fun/real Monarch-y language 
</t>
  </si>
  <si>
    <t>VQA guides - Leadership</t>
  </si>
  <si>
    <t xml:space="preserve">Heavy revisions - rewriting and restructuring to make more approachable/human/straightforward/conversational </t>
  </si>
  <si>
    <t>Plan tab:
Added plan info, sent to legal
Feature callouts TBD by business 
Big win for services &amp; perks area: GTS agreed to break down services and perks, e.g. “You have 2 services and 1 perk,” in next release. For now going with generic “You purchased services &amp; perks with your plan” for upcoming release. 
Billing tile updates
“Digital correction tool” tile - which helps customers get clarity on promo credits - will now be featured within “next month’s bill” tile. Text link (FPO “Missing your promo credit? Get help”) will send customers to chat for assistance. 
Pathfinder entry point: 
Content fInalized, sent to legal
KO with Andy - Content review
Will rework content on ongoing basis for future release</t>
  </si>
  <si>
    <t>Pathfinder entry point - urgent leadership ask:
Provide more context for new customers entering at 50% and 75% 
Additional changes to exisiting customer (add a line) entry points
More revisions coming for future releases</t>
  </si>
  <si>
    <t>VQA guides</t>
  </si>
  <si>
    <t xml:space="preserve">Cont. revisions &amp; finalizing changes </t>
  </si>
  <si>
    <t>Monarch Design Guide</t>
  </si>
  <si>
    <t xml:space="preserve">Pathfinder entry point:
Urgent leadership content revision late last week (Steve Murray, John Devanney) 
Customers entering at 50-75% may have already registered and activated their devices so they’re missing the context of the Digital Onboarding experience. 
They would be seeing 50/75% completion for the first time and it would be disorienting. 
We don’t have data to know what customers have or haven’t done yet, so we need to keep content very generic. 
We also changed the headline per Andy’s suggestion. (From “Set things up” to “Get set up.) 
There are already so many “things” on the Me tab. “Get set up” is a little clearer. (We would prefer to mention “account setup” as we did in a previous iteration, but this isn’t possible.)
The leadership review provided an opportunity to for us to revisit other entry point content, so we’ll be iterating for our July release. </t>
  </si>
  <si>
    <t>5/23 &amp; 5/30</t>
  </si>
  <si>
    <t>Cont. revisions &amp; finalizing changes (leadership guide now compete, now focusing on design version)</t>
  </si>
  <si>
    <t>Urgent ask: content update, multiple shipment card
Content complete &amp; sent to legal: "Digital correction tool," i.e. customers that are missing promo credit(s) can now go right to chat from NBS
KO content iterations: empty state, e.g. "Your'e all caught up," - one version that works for all tabs without misleading customers that 1) they're entirely done with DOB tasks and 2) there will be more to do, bc in a post-100% state, we're not sure what, if anything else, customers will have to do
KO content review - order tracking tiles; updated design &amp; content for July release
KO business review for new content - discount renewal for existing customers
VMP marketing tile content iterations (a few choices for each; days 1-10/days 11-20/days 21-30) sent to VMP team, awaiting feedback</t>
  </si>
  <si>
    <t>VQA designer guide - cont. content revisions</t>
  </si>
  <si>
    <t>July release - Beyond 100%
Upcoming release provides a great opportunity to refresh and revise design and content for some secondary tiles
Marketing tiles - Example shown: Verizon Mobile Protect, 3 tiles that show during days 1-10/11-20/21-30 (I drafted a number of different options and the VMP chose what shown here.) 
Order &amp; return tracking - Leaning into dynamic visuals to do the heavy lifting 
Empty state - Challenge: Not much dynamic content (at this point) for post-100% experience; also don’t want customers to think there’s nothing else for them to do within onboarding, only referring to this tab</t>
  </si>
  <si>
    <t xml:space="preserve">VQA guides </t>
  </si>
  <si>
    <t>Device tab: 
VMP tiles - rewrote marketing tiles to reflect Brandy/Andy’s direction while aligning to revamped VMP marketing strategy
KO discussions re: post-device activation Asurion chat tiles 
KO Monarch refresh - order/return tracking tiles &amp; order on hold 
Billing tab:  wrote new tiles: review this month’s savings (more conversational but also aligning with Me tab monthly savings card), renew discount; determined no new tile needed for account member billing (since they wouldn’t see anything), new empty state will work
Plan tab: Updated perk tiles to include “services”
KO new Me tab design iterations informed by NBX tiles, will pull in Andy when design is ready to share</t>
  </si>
  <si>
    <t>Completed VQA for designers deck</t>
  </si>
  <si>
    <t>Finalized VMP marketing tiles; sent to legal
Urgent ask: Update all DOB references - "services &amp; perks" to "products &amp; plan perks"
Cont. order/return tracking iterations
Cont. billing tile updates</t>
  </si>
  <si>
    <t>Reviewed/revised final slide decks</t>
  </si>
  <si>
    <t xml:space="preserve">Order tracking tiles updated: Monarch language, letting product thumbnails do a lot of the lifting; new tiles for partial/entire order arrivals; new tile in the works so customers can easily start returns and exchanges; all being sent to legal today
New post-activation Tech Coach chat tile to help customers with common issues; also being sent to legal today
Iterating new discount renewal success tile 
Revised/rewrote Smart Setup page content: combined back up device/activate device sections (since they link to the same place) and added a BYOD section so BYOD customers know where to go
Reworked post-100% empty state tab
Updated “Order on hold” tile
Cont. discussions and iterations for post-100% Pathfinder entry point design, special emphasis on badging for NBX tiles.  </t>
  </si>
  <si>
    <t xml:space="preserve">Finalized return/exchange tile - sent to legal
Finalized discount success tile - sent to legal
Finalized Smart Setup page revisions on based on BYOD feedback - sent to legal
Retry activation: issue with API, takes up to 4 minutes - creating a loading state, with information that users can’t leave the page or the process will be canceled
Post-100% Pathfinder entry point design pivot: leadership doesn’t want to use NBX tiles, cont. discussions needed </t>
  </si>
  <si>
    <t xml:space="preserve">Cont. discussions/iterations Me tab/Pathfinder entry point suggested actions
Finalized retry activation screens - sent to legal 
KO Anytime Upgrade discussions
Discount qualification tile revisions </t>
  </si>
  <si>
    <t>KO "Next Steps" CTA on flyout cart in NSE</t>
  </si>
  <si>
    <t xml:space="preserve">New tiles: trade-in lost, trade-in cancellation failure, return not received retail/shipping label/QR code
Antitrust training - Frontier 
</t>
  </si>
  <si>
    <t xml:space="preserve">Created CTA options to replace "Next steps" in NSE flyout cart, including universal, plan-specific and trade-in variations
Business requested additional plan-specific options requested; provided follow-up recommendations
KO "Get more with your purchase" later in the NSE flow; iterating header/subhead/CTA variations
</t>
  </si>
  <si>
    <t xml:space="preserve">-Created Order on hold Me tab entry point tile (generic for a number of different scenarios); sent to legal
-Trade-in lost in transit - determined current "trade-in assessed" secondary tile works for now since customers are directed to details page with more info; will revisit in future
-Discovery KO, Fios integration
</t>
  </si>
  <si>
    <t xml:space="preserve">-Provided business with a number of different headline and subhead variations, as well as H3s and CTAs, for the "Get more with your purchase"  page; revising per feedback; testing tentatively scheduled for 8/25 
-“Next steps" CTAs for NSE flyout cart ready for testing later this month
</t>
  </si>
  <si>
    <t xml:space="preserve">KO Year in Review; persona testing variants due Tuesday for discussion w/team; will present to Andy/Brandy Wed. </t>
  </si>
  <si>
    <t xml:space="preserve">
-Order status tiles (delivery attempts 1, 2 &amp; 3 - canceled after 3; plus lost in transit)
-KO Mobile + Home discount tile</t>
  </si>
  <si>
    <t xml:space="preserve">-Completed "Get more with your purchase revisions
-Testing KO 8/25; will share readouts once completed
 -Requested and completed RTM testing walkthrough to gain a holistic understanding of process
</t>
  </si>
  <si>
    <t>Persona testing variants, persona subcopy, and YIR introductory top-of-screen copy created, revised and ready for Friday 8/15 testing</t>
  </si>
  <si>
    <t>KO FWA/mobile cross-sell tiles
KO Anytime Upgrade tile
---&gt;business alinging w/marketing for prod content for both of the above
Urgent leadership ask: 6-month Google AI Pro tile</t>
  </si>
  <si>
    <t xml:space="preserve">Requested RTM roadmap
</t>
  </si>
  <si>
    <t xml:space="preserve">Reviewed initial persona readout (moving fwd w/o persona); added to YIR larger team; updating content on entire WIP YIR flow for Tues. 8/26 business stakeholder meeting with Dory </t>
  </si>
  <si>
    <t>available for check-ins and quick questions</t>
  </si>
  <si>
    <t>Cont. end-to-end flow iteration for leadership call</t>
  </si>
  <si>
    <t xml:space="preserve">"Smart suggestions" AI PDP agent - iterated/finalized edge cases; worked with Kristin to ensure alignment </t>
  </si>
  <si>
    <t>Cont. iterating end-to-end YIR flow for leadership call; worked with Andy to finalize content</t>
  </si>
  <si>
    <t xml:space="preserve">KO discussion: NBX entry point variations </t>
  </si>
  <si>
    <t>Urgent subcopy prompt (via leadership) to replace "How can I help?" for "Smart suggestions" AI PDP agent to align with user intent/action (e.g. shopping)</t>
  </si>
  <si>
    <t>Cont. content revisions per business/leadership</t>
  </si>
  <si>
    <t>KO with new designers
Order update tiles
5G optimizer tile</t>
  </si>
  <si>
    <t xml:space="preserve">
Cont. onbarding new designers
New 5G weak signal bottom sheet on Device tab; working with product team (and Edgar) to align experiences
Iterated and finalized NBX Me tab entry point tiles with business (using Scriptify within Catalyst)) for exisiting customer/AAL </t>
  </si>
  <si>
    <t>Legal review with Lacy; KO legal updates
Accessibility content updates</t>
  </si>
  <si>
    <t xml:space="preserve">
Cont. iterating NBX Me tab entry point tiles, existing customers (AAL); updated re: specificity and Monarch tone/voice; business reviewing, upcoming legal review</t>
  </si>
  <si>
    <t xml:space="preserve">Cont. regular meetings with design; ensuring animation content updates align with experience
KO new screen for customers with Verizon for less than 1 year; need info re: what communications those customers will see before landing on that screen and where they'll go after that screen; also need clarification about YIR notifications and emails for all customers </t>
  </si>
  <si>
    <t xml:space="preserve">Further refined NBX Me tab variants written last week (existing AAL customers)
KO new bottom sheet for exisiting customers in DOB for the first time (they may/may not have already activated device)
Design team sharing mobile +Fios iterations 
KO new billing tiles for mobile + Fios experience
KO new plan tile - no perks/products, encourage customers to explore
Awaiting approved language for Anytime Upgrade tile </t>
  </si>
  <si>
    <t>Iterated content variations for generic screen for those ineligible for YIR &amp; when experience is over (will be live 3 weeks)
Pushed back on business-provided, text-based myAccess image for that screen; doesn't align with content or design; awaiting new one
Cont. refining 2+ line Home Internet screen (with graph); Brandy weighing in, awaiting Pooja's feedback</t>
  </si>
  <si>
    <r>
      <rPr>
        <rFont val="Arial"/>
        <b/>
        <color theme="1"/>
      </rPr>
      <t xml:space="preserve">Fios experience refinement: </t>
    </r>
    <r>
      <rPr>
        <rFont val="Arial"/>
        <color theme="1"/>
      </rPr>
      <t xml:space="preserve">Fios onboarding flow evolving to better align with the mobile DOB experience; collaborating with design &amp; business to refine messaging across Product &amp; plan perks flows
</t>
    </r>
    <r>
      <rPr>
        <rFont val="Arial"/>
        <b/>
        <color theme="1"/>
      </rPr>
      <t xml:space="preserve">Content audit: </t>
    </r>
    <r>
      <rPr>
        <rFont val="Arial"/>
        <color theme="1"/>
      </rPr>
      <t xml:space="preserve">Reviewing existing tiles to make copy more value-driven and customer-focused ahead of next week’s leadership review
</t>
    </r>
    <r>
      <rPr>
        <rFont val="Arial"/>
        <b/>
        <color theme="1"/>
      </rPr>
      <t>Launch mode →engagement mode:</t>
    </r>
    <r>
      <rPr>
        <rFont val="Arial"/>
        <color theme="1"/>
      </rPr>
      <t>Early DOB content prioritized speed/consistency, now optimizing functional tiles for clarity and impact (e.g. “Save $XX/mp by enrolling in Auto Pay” vs. “Enroll in Auto Pay”</t>
    </r>
  </si>
  <si>
    <t>Finalized last screens (regular flow &amp; generic ineligible screen) with design and myAccess business  
Finalized Home Internet data usage screen for 1 address (GTS can suppress address for 1 address) and 2+ addresses</t>
  </si>
  <si>
    <r>
      <rPr>
        <rFont val="Arial"/>
        <b/>
        <color theme="1"/>
      </rPr>
      <t xml:space="preserve">Leadership review: Fios experience: </t>
    </r>
    <r>
      <rPr>
        <rFont val="Arial"/>
        <color theme="1"/>
      </rPr>
      <t xml:space="preserve">Strong leadership feedback (Steve Murray/John Devanney) on Fios experience; validated direction re: simplifying flows and copy refinement; “plan perks” flagged as potentially confusing, request for more intuitive product/plan perks language (already on that!)
</t>
    </r>
    <r>
      <rPr>
        <rFont val="Arial"/>
        <b/>
        <color theme="1"/>
      </rPr>
      <t>Tile refinement/voice alignment:</t>
    </r>
    <r>
      <rPr>
        <rFont val="Arial"/>
        <color theme="1"/>
      </rPr>
      <t xml:space="preserve"> Refined new and existing tiles (Auto Pay, Account Access, Products &amp; Plan Perks, Add a (Fios) Payment Method), leveraging Monarch voice/tone for value-forward/benefit-driven content that’s simpler and more encouraging
</t>
    </r>
    <r>
      <rPr>
        <rFont val="Arial"/>
        <b/>
        <color theme="1"/>
      </rPr>
      <t xml:space="preserve">Q3 performance: </t>
    </r>
    <r>
      <rPr>
        <rFont val="Arial"/>
        <color theme="1"/>
      </rPr>
      <t xml:space="preserve">Higher engagement: 50 bps churn reduction for new mobile single-line customers
</t>
    </r>
  </si>
  <si>
    <t>-RTM partners are now sharing measurable results with our team.
-Received quantitative KPIs for two tests: Unlocked Offers page and Flyout Cart Optimization (Phase 1).
-Unlocked Offers showed clear improvement, validating the value-forward messaging and Monarch voice/tone.</t>
  </si>
  <si>
    <t>KO RCS (i.e. image-based texts)/push notifications; content review/check in Monday</t>
  </si>
  <si>
    <t>KO additional Auto Pay tile updates &amp; new port tiles</t>
  </si>
  <si>
    <t>RTM partners continue to share measurable results with our team.
Received quantitative KPIs for additional test: PDP Sales Agent; showed positive performance and engagement. 
Phase 2 KO this week; iterating new content variants for review next week.
.</t>
  </si>
  <si>
    <t>RCS/push notifications iterations and reviews; sent for brand review</t>
  </si>
  <si>
    <t>Placement</t>
  </si>
  <si>
    <t>Week</t>
  </si>
  <si>
    <t xml:space="preserve">port messaging for tiles </t>
  </si>
  <si>
    <t>Continuous content support for Monarch updates</t>
  </si>
  <si>
    <t>Account members content KO</t>
  </si>
  <si>
    <t>Sometimes its final but sometimes we have to come back to it</t>
  </si>
  <si>
    <t>Connected with port-in business contact, Lena Affaneh, about customer exp. re: porting in.</t>
  </si>
  <si>
    <t>Lena Affaneh</t>
  </si>
  <si>
    <t>KO discussions re: updating "Contact us" messaging w/in DOB exp.</t>
  </si>
  <si>
    <t>unhappying path re: port cont.; input from Andy - align with CTA matrix, connected with Anna, awaiting response</t>
  </si>
  <si>
    <t>Contact Us page withn DOB - team wants changes bc content isn't great; discussed with Andy; content and order of contact us options should be changed at higher level, connected with Steph/Anna per Andy, awaiting response</t>
  </si>
  <si>
    <t>discussed new name for experience with team 10/10; met with Andy for two brainstorming sessions; presented one recommendation ("Getting set up") with team 10/11, Tina approved</t>
  </si>
  <si>
    <t>per Sandra, all new content approved by legal 10/11</t>
  </si>
  <si>
    <t>cont. port messaging, but only happy path, plus initial account manager tiles</t>
  </si>
  <si>
    <t>port later tiles</t>
  </si>
  <si>
    <t>Comcast</t>
  </si>
  <si>
    <t>aligned with Steph re: transfer vs. bring your number language; met with DOB team to update, must revise tiles and resubmit to legal</t>
  </si>
  <si>
    <t>connected with Steph re: correct port language; reworking port happy/unhappy path accordingly</t>
  </si>
  <si>
    <t>reworked unhappy path tiles wtih Sandra; decided on 3 generic tiles: self-service/more info needed, call previous provider; call VZ</t>
  </si>
  <si>
    <t>urgent content need, 10/16: update/rework/rewrite needed for Verizon Visa Card tile; provided 2 options, sent to legal 10/17</t>
  </si>
  <si>
    <t>Yvonne Colantino; Lew DeAngelis; Katelyn Mcguire</t>
  </si>
  <si>
    <t>legal approval for Verizon Visa Card tile - two options approved, team decided on $100 cash back</t>
  </si>
  <si>
    <t>updated happy path/port-in later content re: "bring your number" - sent to legal for review</t>
  </si>
  <si>
    <t>KO disccusions re: refund tiles</t>
  </si>
  <si>
    <t>KO discussions re: multiline accounts, reworking progress content</t>
  </si>
  <si>
    <t>KO discussions re: discount content (military, teachers, nurses, etc.)</t>
  </si>
  <si>
    <t xml:space="preserve">Completed first round of multiline progress content; will review with team Monday </t>
  </si>
  <si>
    <t xml:space="preserve">Added new multiline progress content scenario: set up perks; doublechecked "activate" vs. "set up" </t>
  </si>
  <si>
    <t>met with redemption team re: "redeem" tiles</t>
  </si>
  <si>
    <t>Taylor Knupp, 	Ted Yoon, Michelle Mccrory</t>
  </si>
  <si>
    <t>Journey</t>
  </si>
  <si>
    <t>Impacted Page</t>
  </si>
  <si>
    <t>Nomenclature Activity</t>
  </si>
  <si>
    <t>Visual Aids</t>
  </si>
  <si>
    <t>CXO</t>
  </si>
  <si>
    <t>Offer Glossary</t>
  </si>
  <si>
    <t>"War room" PDP requests</t>
  </si>
  <si>
    <t>Band-aid</t>
  </si>
  <si>
    <t xml:space="preserve">10.03.24 Alignment </t>
  </si>
  <si>
    <t>- Connected with Ali
- kickoff with Ali &amp; Brian</t>
  </si>
  <si>
    <t>Complete, move to Archive for next week</t>
  </si>
  <si>
    <t>NGD + BAU Cashflow Insights</t>
  </si>
  <si>
    <t>providing feedback on error messaging</t>
  </si>
  <si>
    <t>https://docs.google.com/spreadsheets/d/11E9c0lkLkt_Ck7lMtrWlGwvpjvBqh9Xlu33JtPg1rvM/edit?gid=0#gid=0</t>
  </si>
  <si>
    <t>Awaiting info/timing on enhnacements</t>
  </si>
  <si>
    <t>GW VBM error message</t>
  </si>
  <si>
    <t>https://www.figma.com/design/gq7xaHXyXKWFkMXyFCQSgD/VBM-Email-offer-expired%2Fun-enriched-error-11.15.24?node-id=0-1&amp;t=N13JrDEa5xjyzOEL-1</t>
  </si>
  <si>
    <t>VBM GW</t>
  </si>
  <si>
    <t>Jamie Sawicki</t>
  </si>
  <si>
    <t>- Wrote error message, checked layout in smaller screen sizes</t>
  </si>
  <si>
    <t>Amanda Z request in figma</t>
  </si>
  <si>
    <t>https://www.figma.com/design/zreea95lSL8BvAEiX2OnfY/Home-offers-(Fios)?node-id=11054-31302&amp;t=olWaMscqPTzzvyIF-1</t>
  </si>
  <si>
    <t>Offers (Home)</t>
  </si>
  <si>
    <t>Amanda Zungia Mora, Stephanie Arndt</t>
  </si>
  <si>
    <t>- Offer-related copy recommendations</t>
  </si>
  <si>
    <t>Available offers RTM</t>
  </si>
  <si>
    <t>https://www.figma.com/design/tByVx6wtC8T0heQa5ZPPek/PDP-Design-Requests?node-id=10717-47843&amp;t=V5hvFSwIcamBmW8W-1</t>
  </si>
  <si>
    <t>Ali Baker, Singer Cheng, Jill Parnell</t>
  </si>
  <si>
    <t>- Work session with Singer
- Team review 11/19
- Work session #2 w Singer
- Team review 11/26</t>
  </si>
  <si>
    <t>https://docs.google.com/presentation/d/15UsWy8pSvXME8Zl1_v0LCuoA5UOZG6uHlvqe4zpE20Q/edit#slide=id.g2e8566ec680_2_467</t>
  </si>
  <si>
    <t>PDP future-planning workshop</t>
  </si>
  <si>
    <t>Onboarding, planning</t>
  </si>
  <si>
    <t>attended workshop</t>
  </si>
  <si>
    <t>NGD Pricing Unification</t>
  </si>
  <si>
    <t>https://www.figma.com/design/DwEIgqRpOtHReHSttHFnIC/Total-device-cost-section---Variants?node-id=70-16349&amp;t=KPdoCt7RJ3LJldCH-1</t>
  </si>
  <si>
    <t>https://docs.google.com/spreadsheets/d/1UeUoGQ0aFfn-7wP_v5xLXAZ6wN5LZq26dBnvqwExg84/edit?gid=262405000#gid=262405000</t>
  </si>
  <si>
    <t>GW &amp; PDPs</t>
  </si>
  <si>
    <t>Lacy Kennedy, Amanda Mastrella, Brian Swift, Kelly Choe, Abby Nanquil</t>
  </si>
  <si>
    <t>- Work sessions with design
- Recommendations ready for feedback
- Legal review
- Revised copy based on all breakpoints
- Content matrix creation
- Kelly Choe reached out about similar needs for NGD pricing copy 
- NGD pricing copy approval w Lacy
- First draft of matrix complete
- Sharing with full NGD Buy team 11/8
- New scenarios for Quick View 2.0
- Met with Anna on creating VDS Expansion pack library for pricing copy
- Initial reworked versions for NGD PDP usability test</t>
  </si>
  <si>
    <t>New immediate needs requested 10/31</t>
  </si>
  <si>
    <t>NGD Quick View</t>
  </si>
  <si>
    <t>UX writing &amp; design collab, structured content, IA, standards &amp; gov</t>
  </si>
  <si>
    <t>https://www.figma.com/design/DYh4TZ86L5reseYmtnjWow/Quick-View-2.0?node-id=1-2&amp;t=avkrwpuWnQqpGJdx-1</t>
  </si>
  <si>
    <t>GW</t>
  </si>
  <si>
    <t>Jamie Sawiki, Matt Zabita</t>
  </si>
  <si>
    <t>- Updates to component deliverables &amp; library copy
- Met with Matt on additional component needs
- Meet with Matt &amp; Nadia on pricing unification related
- New scenarios related to Unified Pricing
- Copy legal review for BIC DPP &amp; Free scenarios
- CTAs for pre-order &amp; backorder
- QAing &amp; annotations for dev</t>
  </si>
  <si>
    <t>New financial services LP</t>
  </si>
  <si>
    <t>New</t>
  </si>
  <si>
    <t>https://www.figma.com/design/YFyhIpOf4JMOQOdgQvQqjQ/Banking-LP?node-id=127-1484&amp;t=SQy4qcypOA3CaCt9-1</t>
  </si>
  <si>
    <t>Ray Kistemaker, Amanda Mastrella, David Zamder, Danee Fields</t>
  </si>
  <si>
    <t>- onboarding
- ux writing
- mtg w Ray
- IR2 &amp; IR partners
- Revisions
- New req's</t>
  </si>
  <si>
    <t>NGD Quick Links</t>
  </si>
  <si>
    <t>New feature, flow</t>
  </si>
  <si>
    <t>Discovery (testing)</t>
  </si>
  <si>
    <t>Content direction &amp; planning, UX writing &amp; design collab, structured content, IA</t>
  </si>
  <si>
    <t>https://www.figma.com/design/gbcQf0kQzp01TcoIU2165j/NGD-Browse---Quick-Links?node-id=1065-270&amp;t=5F2yZHdWxD4SIPo4-1</t>
  </si>
  <si>
    <t>coming soon</t>
  </si>
  <si>
    <t>Homepage, GWs</t>
  </si>
  <si>
    <t>Yogesh Sharma, Ray Kistemaker</t>
  </si>
  <si>
    <t>- Potential matrix planning</t>
  </si>
  <si>
    <t>On hold temporarily, with Merch</t>
  </si>
  <si>
    <t>NGD Recently Viewed</t>
  </si>
  <si>
    <t>Content direction &amp; planning, UX writing &amp; design collab, structured content</t>
  </si>
  <si>
    <t>https://www.figma.com/design/Cujo9j3Ux2qr6V60nZIQ0t/NGD-Browse---Recently-Viewed?node-id=862-6269&amp;t=IF1MrCY5nTbbYU94-1</t>
  </si>
  <si>
    <t>NGD: Browse - Recently Viewed Scenarios Copy Matrix MVP (Device only) WIP</t>
  </si>
  <si>
    <t>Homepage</t>
  </si>
  <si>
    <t>- First draft of content matrix shared with team
- CTA link work</t>
  </si>
  <si>
    <t>Urgency messaging discovery</t>
  </si>
  <si>
    <t>Field intial request, direction &amp; planning</t>
  </si>
  <si>
    <t>Bryony Hoare, Danee Feilds, Dawn Giuliano</t>
  </si>
  <si>
    <t xml:space="preserve">
- Mtgs w/ MA
- Getting holiday moratorium info from CMI
- Mtg w/ Bryony
- Misc admin
- CMI brief creation onboard &amp; review with Bryony</t>
  </si>
  <si>
    <t>RTM Themes_Urgency</t>
  </si>
  <si>
    <t>Jan - Feb 2025?</t>
  </si>
  <si>
    <t>NGD Value Center</t>
  </si>
  <si>
    <t>Redesigned feature</t>
  </si>
  <si>
    <t>Content direction &amp; planning, structured content</t>
  </si>
  <si>
    <t>https://www.figma.com/board/ryN5MRvwqqTUc1yT4gPWbt/Saving-Center-FigJam-Ideation-board?node-id=0-1&amp;t=QmQUWc5MMRMIVBqJ-1</t>
  </si>
  <si>
    <t>Account &gt; Billing &gt; Offers</t>
  </si>
  <si>
    <t>Savings Center</t>
  </si>
  <si>
    <t>Phuong Huynh, Olga Engroff</t>
  </si>
  <si>
    <t>- Mtgs
- Reviewing offer nomenclature in Yoko &amp; Olga deck, providing fdbk</t>
  </si>
  <si>
    <t>Consulting only as needed</t>
  </si>
  <si>
    <t>Benin ad hoc</t>
  </si>
  <si>
    <t>Sen Yang, Jonathan Ofri, Andy Dubrov</t>
  </si>
  <si>
    <t>- ux writing</t>
  </si>
  <si>
    <t>BAU Device Financing and/or Dark Patterns TILAs</t>
  </si>
  <si>
    <t>https://www.figma.com/design/bh5tEmgYZvH4AhsXcKnJys/NGD---E2E-Paths?node-id=1325-34305&amp;p=f&amp;t=Uq7Cm1PcN4PZkGy0-0</t>
  </si>
  <si>
    <t>Andy Dubrov, Kelly Choe, Ray Kistemaker</t>
  </si>
  <si>
    <t>Re-started 12/4/2024</t>
  </si>
  <si>
    <t>NGD Device Financing and/or Dark Patterns TILAs</t>
  </si>
  <si>
    <t>Redesigned flow, page or feature</t>
  </si>
  <si>
    <t>Enhancements, Maintenance</t>
  </si>
  <si>
    <t>Structured content, standards &amp; governance</t>
  </si>
  <si>
    <t>https://www.figma.com/design/nlazIeYTvc8wgUX4xoZ0kP/NGD-PDP---documentation?node-id=7340-28120&amp;p=f&amp;t=rj28JF5eLUd6XkzA-0</t>
  </si>
  <si>
    <t>https://docs.google.com/spreadsheets/d/1yDFlXXhQQaCZenIzNV_I2NRNCYeb2yYOjjdsOuR1eXE/edit?gid=1613979366#gid=1613979366</t>
  </si>
  <si>
    <t>Andy Dubrov, Lacy Kennedy, Yogesh Sharma, Ali Baker, Alex Cimiluca, Nora Harvey</t>
  </si>
  <si>
    <t>- kickoff w Andy
- Email &amp; mtg setup w Nora
- matrix creation
- re-onboard w Andy
- UX writing offer copy across Shop journey
- Reviews with Andy
- Prep for test variants</t>
  </si>
  <si>
    <t xml:space="preserve">NGD PDP MVP redesign, near future enhancments </t>
  </si>
  <si>
    <t>https://www.figma.com/design/nlazIeYTvc8wgUX4xoZ0kP/NGD-PDP---documentation?node-id=114-23334&amp;p=f&amp;t=AT172XHbIFE2cfLE-0</t>
  </si>
  <si>
    <t>NGD Device PDP TILA, Pricing Logic &amp; Variants Copy Matrix WIP</t>
  </si>
  <si>
    <t>Nadia, Matt, Amanda, Bryony</t>
  </si>
  <si>
    <t>- Offer &amp; presentment updates, 
- mtgs</t>
  </si>
  <si>
    <t>Promo, Offer, Deal nomenclature</t>
  </si>
  <si>
    <t>https://app.usertesting.com/workspaces/999242/study/5321656/sessions</t>
  </si>
  <si>
    <t>Bryony Hoare, Mandi Gonzalez</t>
  </si>
  <si>
    <t>- Met with Bryony on next steps
- Revised Q &amp; approved by CMI
- Launched 2nd pilot test, reviewed results
- Launched 7 additional tests
- Reviewed Bryony deck
- Met with JJ on next steps
- Reviewed revisions
- Incorporating Elvis related
- Mtg w Andy, JJ, Bryony on plan to share out w working teams, leadership
- Follow up convos</t>
  </si>
  <si>
    <t>NGD Elvis: Device Financing TILA updates</t>
  </si>
  <si>
    <t>https://www.figma.com/design/nlazIeYTvc8wgUX4xoZ0kP/NGD-PDP---documentation?node-id=43-8137&amp;p=f&amp;t=8uXZLSLKsFXktRbu-0</t>
  </si>
  <si>
    <t>Purnima Kunjathoor, Lacy Kennedy, Anne Siotka, Anne Lebold, Yogesh Sharma</t>
  </si>
  <si>
    <t xml:space="preserve">- Mtg
- Documentation for first legal review/workshop
-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</si>
</sst>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m/d"/>
    <numFmt numFmtId="166" formatCode="m/d/yy"/>
    <numFmt numFmtId="167" formatCode="m/d/yyyy"/>
    <numFmt numFmtId="168" formatCode="m/yyyy"/>
  </numFmts>
  <fonts count="22">
    <font>
      <sz val="10.0"/>
      <color rgb="FF000000"/>
      <name val="Arial"/>
      <scheme val="minor"/>
    </font>
    <font>
      <b/>
      <color rgb="FFFFFFFF"/>
      <name val="Arial"/>
      <scheme val="minor"/>
    </font>
    <font/>
    <font>
      <color theme="1"/>
      <name val="Arial"/>
      <scheme val="minor"/>
    </font>
    <font>
      <u/>
      <color rgb="FF0000FF"/>
    </font>
    <font>
      <u/>
      <color theme="1"/>
      <name val="Arial"/>
      <scheme val="minor"/>
    </font>
    <font>
      <color rgb="FFFFFFFF"/>
      <name val="Arial"/>
      <scheme val="minor"/>
    </font>
    <font>
      <u/>
      <color rgb="FF0000FF"/>
    </font>
    <font>
      <u/>
      <color rgb="FF0000FF"/>
    </font>
    <font>
      <u/>
      <color theme="1"/>
      <name val="Arial"/>
      <scheme val="minor"/>
    </font>
    <font>
      <u/>
      <color rgb="FF0000FF"/>
    </font>
    <font>
      <u/>
      <color rgb="FF0000FF"/>
    </font>
    <font>
      <u/>
      <color rgb="FF0000FF"/>
    </font>
    <font>
      <u/>
      <color theme="1"/>
      <name val="Arial"/>
      <scheme val="minor"/>
    </font>
    <font>
      <color theme="1"/>
      <name val="Arial"/>
    </font>
    <font>
      <u/>
      <color rgb="FF0000FF"/>
    </font>
    <font>
      <u/>
      <color rgb="FF0000FF"/>
    </font>
    <font>
      <u/>
      <color rgb="FF0000FF"/>
    </font>
    <font>
      <color rgb="FF000000"/>
      <name val="Arial"/>
    </font>
    <font>
      <b/>
      <color theme="1"/>
      <name val="Arial"/>
      <scheme val="minor"/>
    </font>
    <font>
      <u/>
      <color rgb="FF0000FF"/>
    </font>
    <font>
      <u/>
      <color rgb="FF0000FF"/>
    </font>
  </fonts>
  <fills count="6">
    <fill>
      <patternFill patternType="none"/>
    </fill>
    <fill>
      <patternFill patternType="lightGray"/>
    </fill>
    <fill>
      <patternFill patternType="solid">
        <fgColor rgb="FFFF0000"/>
        <bgColor rgb="FFFF0000"/>
      </patternFill>
    </fill>
    <fill>
      <patternFill patternType="solid">
        <fgColor rgb="FF000000"/>
        <bgColor rgb="FF000000"/>
      </patternFill>
    </fill>
    <fill>
      <patternFill patternType="solid">
        <fgColor rgb="FF0000FF"/>
        <bgColor rgb="FF0000FF"/>
      </patternFill>
    </fill>
    <fill>
      <patternFill patternType="solid">
        <fgColor rgb="FFFFFFFF"/>
        <bgColor rgb="FFFFFFFF"/>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0" fontId="3" numFmtId="0" xfId="0" applyBorder="1" applyFont="1"/>
    <xf borderId="5" fillId="0" fontId="3" numFmtId="0" xfId="0" applyBorder="1" applyFont="1"/>
    <xf borderId="0" fillId="3" fontId="1" numFmtId="0" xfId="0" applyAlignment="1" applyFill="1" applyFont="1">
      <alignment readingOrder="0"/>
    </xf>
    <xf borderId="1" fillId="3" fontId="1" numFmtId="0" xfId="0" applyAlignment="1" applyBorder="1" applyFont="1">
      <alignment readingOrder="0"/>
    </xf>
    <xf borderId="3" fillId="3" fontId="1" numFmtId="0" xfId="0" applyAlignment="1" applyBorder="1" applyFont="1">
      <alignment readingOrder="0"/>
    </xf>
    <xf borderId="6" fillId="0" fontId="3" numFmtId="0" xfId="0" applyAlignment="1" applyBorder="1" applyFont="1">
      <alignment readingOrder="0"/>
    </xf>
    <xf borderId="5" fillId="0" fontId="3" numFmtId="9" xfId="0" applyBorder="1" applyFont="1" applyNumberFormat="1"/>
    <xf borderId="0" fillId="0" fontId="3" numFmtId="0" xfId="0" applyFont="1"/>
    <xf borderId="0" fillId="0" fontId="4" numFmtId="0" xfId="0" applyAlignment="1" applyFont="1">
      <alignment readingOrder="0"/>
    </xf>
    <xf borderId="0" fillId="0" fontId="3" numFmtId="0" xfId="0" applyAlignment="1" applyFont="1">
      <alignment readingOrder="0"/>
    </xf>
    <xf borderId="5" fillId="0" fontId="3" numFmtId="0" xfId="0" applyAlignment="1" applyBorder="1" applyFont="1">
      <alignment readingOrder="0"/>
    </xf>
    <xf borderId="7" fillId="0" fontId="3" numFmtId="0" xfId="0" applyAlignment="1" applyBorder="1" applyFont="1">
      <alignment readingOrder="0"/>
    </xf>
    <xf borderId="8" fillId="0" fontId="3" numFmtId="9" xfId="0" applyAlignment="1" applyBorder="1" applyFont="1" applyNumberFormat="1">
      <alignment readingOrder="0"/>
    </xf>
    <xf borderId="0" fillId="0" fontId="5" numFmtId="0" xfId="0" applyAlignment="1" applyFont="1">
      <alignment readingOrder="0"/>
    </xf>
    <xf borderId="5" fillId="0" fontId="3" numFmtId="0" xfId="0" applyAlignment="1" applyBorder="1" applyFont="1">
      <alignment readingOrder="0" shrinkToFit="0" wrapText="0"/>
    </xf>
    <xf borderId="0" fillId="0" fontId="3" numFmtId="0" xfId="0" applyAlignment="1" applyFont="1">
      <alignment readingOrder="0"/>
    </xf>
    <xf borderId="0" fillId="0" fontId="3" numFmtId="0" xfId="0" applyAlignment="1" applyFont="1">
      <alignment readingOrder="0" shrinkToFit="0" wrapText="1"/>
    </xf>
    <xf borderId="9" fillId="0" fontId="3" numFmtId="0" xfId="0" applyBorder="1" applyFont="1"/>
    <xf borderId="8" fillId="0" fontId="3" numFmtId="0" xfId="0" applyBorder="1" applyFont="1"/>
    <xf borderId="2" fillId="0" fontId="3" numFmtId="0" xfId="0" applyBorder="1" applyFont="1"/>
    <xf borderId="0" fillId="0" fontId="3" numFmtId="9" xfId="0" applyAlignment="1" applyFont="1" applyNumberFormat="1">
      <alignment readingOrder="0"/>
    </xf>
    <xf borderId="5" fillId="2" fontId="1" numFmtId="0" xfId="0" applyAlignment="1" applyBorder="1" applyFont="1">
      <alignment readingOrder="0"/>
    </xf>
    <xf borderId="0" fillId="2" fontId="1" numFmtId="0" xfId="0" applyAlignment="1" applyFont="1">
      <alignment readingOrder="0"/>
    </xf>
    <xf borderId="5" fillId="3" fontId="1" numFmtId="0" xfId="0" applyAlignment="1" applyBorder="1" applyFont="1">
      <alignment readingOrder="0"/>
    </xf>
    <xf borderId="0" fillId="3" fontId="6" numFmtId="0" xfId="0" applyFont="1"/>
    <xf borderId="5" fillId="3" fontId="6" numFmtId="0" xfId="0" applyBorder="1" applyFont="1"/>
    <xf borderId="0" fillId="3" fontId="6" numFmtId="9" xfId="0" applyFont="1" applyNumberFormat="1"/>
    <xf borderId="0" fillId="3" fontId="6" numFmtId="164" xfId="0" applyFont="1" applyNumberFormat="1"/>
    <xf borderId="0" fillId="3" fontId="6" numFmtId="165" xfId="0" applyAlignment="1" applyFont="1" applyNumberFormat="1">
      <alignment readingOrder="0"/>
    </xf>
    <xf borderId="5" fillId="0" fontId="7" numFmtId="0" xfId="0" applyAlignment="1" applyBorder="1" applyFont="1">
      <alignment readingOrder="0" shrinkToFit="0" wrapText="0"/>
    </xf>
    <xf borderId="0" fillId="0" fontId="3" numFmtId="0" xfId="0" applyAlignment="1" applyFont="1">
      <alignment horizontal="right" readingOrder="0" shrinkToFit="0" wrapText="1"/>
    </xf>
    <xf borderId="0" fillId="0" fontId="3" numFmtId="0" xfId="0" applyAlignment="1" applyFont="1">
      <alignment readingOrder="0" shrinkToFit="0" wrapText="0"/>
    </xf>
    <xf borderId="0" fillId="0" fontId="3" numFmtId="166" xfId="0" applyAlignment="1" applyFont="1" applyNumberFormat="1">
      <alignment readingOrder="0"/>
    </xf>
    <xf borderId="0" fillId="0" fontId="8" numFmtId="0" xfId="0" applyAlignment="1" applyFont="1">
      <alignment readingOrder="0" shrinkToFit="0" wrapText="0"/>
    </xf>
    <xf borderId="5" fillId="0" fontId="9" numFmtId="0" xfId="0" applyAlignment="1" applyBorder="1" applyFont="1">
      <alignment readingOrder="0" shrinkToFit="0" wrapText="0"/>
    </xf>
    <xf borderId="0" fillId="0" fontId="3" numFmtId="164" xfId="0" applyAlignment="1" applyFont="1" applyNumberFormat="1">
      <alignment readingOrder="0"/>
    </xf>
    <xf borderId="5" fillId="0" fontId="3" numFmtId="0" xfId="0" applyAlignment="1" applyBorder="1" applyFont="1">
      <alignment readingOrder="0" shrinkToFit="0" wrapText="1"/>
    </xf>
    <xf borderId="5" fillId="0" fontId="3" numFmtId="0" xfId="0" applyAlignment="1" applyBorder="1" applyFont="1">
      <alignment readingOrder="0"/>
    </xf>
    <xf borderId="0" fillId="0" fontId="3" numFmtId="167" xfId="0" applyAlignment="1" applyFont="1" applyNumberFormat="1">
      <alignment readingOrder="0"/>
    </xf>
    <xf borderId="5" fillId="0" fontId="10" numFmtId="0" xfId="0" applyAlignment="1" applyBorder="1" applyFont="1">
      <alignment readingOrder="0"/>
    </xf>
    <xf borderId="0" fillId="0" fontId="3" numFmtId="0" xfId="0" applyAlignment="1" applyFont="1">
      <alignment readingOrder="0" shrinkToFit="0" wrapText="0"/>
    </xf>
    <xf borderId="0" fillId="0" fontId="3" numFmtId="168" xfId="0" applyAlignment="1" applyFont="1" applyNumberFormat="1">
      <alignment readingOrder="0"/>
    </xf>
    <xf borderId="0" fillId="0" fontId="11" numFmtId="0" xfId="0" applyAlignment="1" applyFont="1">
      <alignment readingOrder="0"/>
    </xf>
    <xf borderId="0" fillId="0" fontId="3" numFmtId="0" xfId="0" applyAlignment="1" applyFont="1">
      <alignment readingOrder="0" shrinkToFit="0" wrapText="0"/>
    </xf>
    <xf borderId="0" fillId="0" fontId="12" numFmtId="0" xfId="0" applyAlignment="1" applyFont="1">
      <alignment readingOrder="0" shrinkToFit="0" wrapText="0"/>
    </xf>
    <xf borderId="5" fillId="0" fontId="13" numFmtId="0" xfId="0" applyAlignment="1" applyBorder="1" applyFont="1">
      <alignment readingOrder="0"/>
    </xf>
    <xf borderId="5" fillId="0" fontId="3" numFmtId="0" xfId="0" applyAlignment="1" applyBorder="1" applyFont="1">
      <alignment readingOrder="0"/>
    </xf>
    <xf borderId="0" fillId="0" fontId="3" numFmtId="167" xfId="0" applyAlignment="1" applyFont="1" applyNumberFormat="1">
      <alignment readingOrder="0" shrinkToFit="0" wrapText="0"/>
    </xf>
    <xf borderId="5" fillId="4" fontId="1" numFmtId="0" xfId="0" applyAlignment="1" applyBorder="1" applyFill="1" applyFont="1">
      <alignment readingOrder="0"/>
    </xf>
    <xf borderId="0" fillId="4" fontId="14" numFmtId="0" xfId="0" applyAlignment="1" applyFont="1">
      <alignment vertical="bottom"/>
    </xf>
    <xf borderId="0" fillId="4" fontId="3" numFmtId="0" xfId="0" applyFont="1"/>
    <xf borderId="5" fillId="4" fontId="3" numFmtId="0" xfId="0" applyBorder="1" applyFont="1"/>
    <xf borderId="0" fillId="4" fontId="3" numFmtId="0" xfId="0" applyAlignment="1" applyFont="1">
      <alignment shrinkToFit="0" wrapText="0"/>
    </xf>
    <xf borderId="0" fillId="4" fontId="3" numFmtId="9" xfId="0" applyFont="1" applyNumberFormat="1"/>
    <xf borderId="0" fillId="4" fontId="3" numFmtId="164" xfId="0" applyFont="1" applyNumberFormat="1"/>
    <xf borderId="3" fillId="0" fontId="3" numFmtId="0" xfId="0" applyBorder="1" applyFont="1"/>
    <xf borderId="10" fillId="3" fontId="1" numFmtId="0" xfId="0" applyAlignment="1" applyBorder="1" applyFont="1">
      <alignment readingOrder="0"/>
    </xf>
    <xf borderId="2" fillId="0" fontId="3" numFmtId="164" xfId="0" applyBorder="1" applyFont="1" applyNumberFormat="1"/>
    <xf borderId="7" fillId="0" fontId="3" numFmtId="9" xfId="0" applyBorder="1" applyFont="1" applyNumberFormat="1"/>
    <xf borderId="0" fillId="0" fontId="3" numFmtId="164" xfId="0" applyFont="1" applyNumberFormat="1"/>
    <xf borderId="0" fillId="0" fontId="3" numFmtId="9" xfId="0" applyFont="1" applyNumberFormat="1"/>
    <xf borderId="2" fillId="3" fontId="6" numFmtId="0" xfId="0" applyAlignment="1" applyBorder="1" applyFont="1">
      <alignment readingOrder="0"/>
    </xf>
    <xf borderId="3" fillId="3" fontId="6" numFmtId="0" xfId="0" applyAlignment="1" applyBorder="1" applyFont="1">
      <alignment readingOrder="0"/>
    </xf>
    <xf borderId="2" fillId="3" fontId="6" numFmtId="0" xfId="0" applyAlignment="1" applyBorder="1" applyFont="1">
      <alignment readingOrder="0" shrinkToFit="0" wrapText="0"/>
    </xf>
    <xf borderId="3" fillId="3" fontId="6" numFmtId="0" xfId="0" applyBorder="1" applyFont="1"/>
    <xf borderId="2" fillId="3" fontId="6" numFmtId="0" xfId="0" applyAlignment="1" applyBorder="1" applyFont="1">
      <alignment readingOrder="0" shrinkToFit="0" wrapText="0"/>
    </xf>
    <xf borderId="2" fillId="3" fontId="6" numFmtId="9" xfId="0" applyBorder="1" applyFont="1" applyNumberFormat="1"/>
    <xf borderId="2" fillId="3" fontId="6" numFmtId="164" xfId="0" applyAlignment="1" applyBorder="1" applyFont="1" applyNumberFormat="1">
      <alignment readingOrder="0"/>
    </xf>
    <xf borderId="2" fillId="3" fontId="6" numFmtId="0" xfId="0" applyBorder="1" applyFont="1"/>
    <xf borderId="2" fillId="3" fontId="6" numFmtId="164" xfId="0" applyBorder="1" applyFont="1" applyNumberFormat="1"/>
    <xf borderId="0" fillId="0" fontId="3" numFmtId="0" xfId="0" applyAlignment="1" applyFont="1">
      <alignment shrinkToFit="0" wrapText="0"/>
    </xf>
    <xf borderId="2" fillId="0" fontId="3" numFmtId="0" xfId="0" applyAlignment="1" applyBorder="1" applyFont="1">
      <alignment shrinkToFit="0" wrapText="0"/>
    </xf>
    <xf borderId="0" fillId="0" fontId="15" numFmtId="0" xfId="0" applyAlignment="1" applyFont="1">
      <alignment readingOrder="0" shrinkToFit="0" wrapText="0"/>
    </xf>
    <xf borderId="5" fillId="0" fontId="16" numFmtId="0" xfId="0" applyAlignment="1" applyBorder="1" applyFont="1">
      <alignment readingOrder="0" shrinkToFit="0" wrapText="1"/>
    </xf>
    <xf borderId="5" fillId="0" fontId="3" numFmtId="0" xfId="0" applyBorder="1" applyFont="1"/>
    <xf borderId="0" fillId="0" fontId="3" numFmtId="0" xfId="0" applyAlignment="1" applyFont="1">
      <alignment shrinkToFit="0" wrapText="1"/>
    </xf>
    <xf borderId="0" fillId="0" fontId="14" numFmtId="0" xfId="0" applyAlignment="1" applyFont="1">
      <alignment vertical="bottom"/>
    </xf>
    <xf borderId="0" fillId="0" fontId="14" numFmtId="0" xfId="0" applyAlignment="1" applyFont="1">
      <alignment vertical="bottom"/>
    </xf>
    <xf borderId="5" fillId="0" fontId="17" numFmtId="0" xfId="0" applyAlignment="1" applyBorder="1" applyFont="1">
      <alignment readingOrder="0"/>
    </xf>
    <xf borderId="0" fillId="0" fontId="14" numFmtId="0" xfId="0" applyAlignment="1" applyFont="1">
      <alignment readingOrder="0" vertical="bottom"/>
    </xf>
    <xf borderId="2" fillId="0" fontId="14" numFmtId="0" xfId="0" applyAlignment="1" applyBorder="1" applyFont="1">
      <alignment vertical="bottom"/>
    </xf>
    <xf borderId="11" fillId="0" fontId="3" numFmtId="9" xfId="0" applyAlignment="1" applyBorder="1" applyFont="1" applyNumberFormat="1">
      <alignment readingOrder="0"/>
    </xf>
    <xf borderId="11" fillId="0" fontId="3" numFmtId="9" xfId="0" applyBorder="1" applyFont="1" applyNumberFormat="1"/>
    <xf borderId="0" fillId="5" fontId="18" numFmtId="0" xfId="0" applyAlignment="1" applyFill="1" applyFont="1">
      <alignment horizontal="left" readingOrder="0" shrinkToFit="0" wrapText="1"/>
    </xf>
    <xf borderId="0" fillId="3" fontId="1" numFmtId="0" xfId="0" applyAlignment="1" applyFont="1">
      <alignment readingOrder="0" shrinkToFit="0" wrapText="1"/>
    </xf>
    <xf borderId="0" fillId="0" fontId="19" numFmtId="0" xfId="0" applyAlignment="1" applyFont="1">
      <alignment readingOrder="0"/>
    </xf>
    <xf borderId="0" fillId="0" fontId="3" numFmtId="165" xfId="0" applyAlignment="1" applyFont="1" applyNumberFormat="1">
      <alignment readingOrder="0"/>
    </xf>
    <xf borderId="0" fillId="0" fontId="3" numFmtId="165" xfId="0" applyAlignment="1" applyFont="1" applyNumberFormat="1">
      <alignment readingOrder="0" shrinkToFit="0" wrapText="1"/>
    </xf>
    <xf borderId="0" fillId="3" fontId="6" numFmtId="0" xfId="0" applyAlignment="1" applyFont="1">
      <alignment readingOrder="0"/>
    </xf>
    <xf borderId="0" fillId="3" fontId="6" numFmtId="0" xfId="0" applyAlignment="1" applyFont="1">
      <alignment readingOrder="0"/>
    </xf>
    <xf borderId="0" fillId="3" fontId="6" numFmtId="9" xfId="0" applyAlignment="1" applyFont="1" applyNumberFormat="1">
      <alignment readingOrder="0"/>
    </xf>
    <xf borderId="0" fillId="3" fontId="6" numFmtId="167" xfId="0" applyAlignment="1" applyFont="1" applyNumberFormat="1">
      <alignment readingOrder="0"/>
    </xf>
    <xf borderId="2" fillId="3" fontId="1" numFmtId="0" xfId="0" applyAlignment="1" applyBorder="1" applyFont="1">
      <alignment readingOrder="0"/>
    </xf>
    <xf borderId="4" fillId="0" fontId="20" numFmtId="0" xfId="0" applyAlignment="1" applyBorder="1" applyFont="1">
      <alignment readingOrder="0" shrinkToFit="0" wrapText="0"/>
    </xf>
    <xf borderId="0" fillId="0" fontId="21" numFmtId="0" xfId="0" applyAlignment="1" applyFont="1">
      <alignment readingOrder="0" shrinkToFit="0" wrapText="1"/>
    </xf>
    <xf borderId="5" fillId="0" fontId="3" numFmtId="0" xfId="0" applyAlignment="1" applyBorder="1" applyFont="1">
      <alignment readingOrder="0" shrinkToFit="0" wrapText="0"/>
    </xf>
  </cellXfs>
  <cellStyles count="1">
    <cellStyle xfId="0" name="Normal" builtinId="0"/>
  </cellStyles>
  <dxfs count="4">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sJVRAm_1edTFRSK4jFMz1Z8xm77FJRR0GclGo4vl2Co/edit?gid=0" TargetMode="External"/><Relationship Id="rId3" Type="http://schemas.openxmlformats.org/officeDocument/2006/relationships/hyperlink" Target="https://docs.google.com/presentation/d/13jukcGisLRDrY4S2aDDFzwVAS0PJRdlZ2ASEen4l1EY/edit?usp=sharing" TargetMode="External"/><Relationship Id="rId4" Type="http://schemas.openxmlformats.org/officeDocument/2006/relationships/hyperlink" Target="https://docs.google.com/presentation/d/1YcORVorTm-Rgqmvo0YbWXfMyhnRjTyKqzRa94BycYcs/edit"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figma.com/design/RZN4E4nMxnBiuOs4q8LExa/NextGen-User-Journey?node-id=575-8355&amp;node-type=canvas&amp;t=Oe4Q2ZciSHYbXgzs-0" TargetMode="External"/><Relationship Id="rId42" Type="http://schemas.openxmlformats.org/officeDocument/2006/relationships/hyperlink" Target="https://www.figma.com/design/7wF2dwHpB6btxH8EsZXx4f/Pay-Off-Your-Phone?node-id=24-32308&amp;node-type=frame&amp;t=GwlrJyWh5VSdHi7s-0" TargetMode="External"/><Relationship Id="rId41" Type="http://schemas.openxmlformats.org/officeDocument/2006/relationships/hyperlink" Target="https://docs.google.com/spreadsheets/d/1kachNhKBeEvPvU3YtD-kKBa-eRZovEKPdBRpKMiU0Ps/edit?gid=593868678" TargetMode="External"/><Relationship Id="rId44" Type="http://schemas.openxmlformats.org/officeDocument/2006/relationships/hyperlink" Target="https://onejira.verizon.com/browse/PRODDEF-35279" TargetMode="External"/><Relationship Id="rId43" Type="http://schemas.openxmlformats.org/officeDocument/2006/relationships/hyperlink" Target="https://www.figma.com/design/RzOONguc1kXTc3rkEkOpN1/NGD-design-updates---Badging%2Frecommendation%2Fperk-upsell?node-id=92-1456&amp;p=f&amp;t=sd5DElYtA9H4omkK-0" TargetMode="External"/><Relationship Id="rId46" Type="http://schemas.openxmlformats.org/officeDocument/2006/relationships/hyperlink" Target="https://www.figma.com/design/yG6pzjed3ynF3Ntwt3Yzvb/2024-Abandon-Cart-Execution-Program?t=E1ppO2dQ4AFlxrwJ-0" TargetMode="External"/><Relationship Id="rId45" Type="http://schemas.openxmlformats.org/officeDocument/2006/relationships/hyperlink" Target="https://www.figma.com/design/beJhWOIPwcHLZfSLjqypdu/NGD-Multi-line?node-id=1667-108752&amp;node-type=canvas&amp;t=FKXMEEGfO4jklgKE-0" TargetMode="External"/><Relationship Id="rId1" Type="http://schemas.openxmlformats.org/officeDocument/2006/relationships/comments" Target="../comments2.xml"/><Relationship Id="rId2" Type="http://schemas.openxmlformats.org/officeDocument/2006/relationships/hyperlink" Target="https://docs.google.com/spreadsheets/d/14AyIM-7nQNxZO1_wPHlwhCUEoUoKii5QNbTTT1H605Q/edit?service=wise&amp;osid=1&amp;ltmpl=sheets&amp;ifkv=ARpgrqfdatVTJeywF7kt1CC6ONFaUoBkJ4pPzy7Zh33WQNddbEiyVZoZKO8nOrW2B7W2beYegFGc&amp;gid=1892953359" TargetMode="External"/><Relationship Id="rId3" Type="http://schemas.openxmlformats.org/officeDocument/2006/relationships/hyperlink" Target="https://www.figma.com/board/vl52LGlHksmu3vanET4hPI/Discount-vs-Credit-audit-WIP?node-id=0-1&amp;t=CADrr1IgS9mPvxab-1" TargetMode="External"/><Relationship Id="rId4" Type="http://schemas.openxmlformats.org/officeDocument/2006/relationships/hyperlink" Target="https://docs.google.com/presentation/d/1sp7CqnWOgFh7L5rzbqsqD97JjAwFzJjTjMpyDD3QTMc/edit?slide=id.g31485516123_0_103" TargetMode="External"/><Relationship Id="rId9" Type="http://schemas.openxmlformats.org/officeDocument/2006/relationships/hyperlink" Target="https://www.figma.com/design/EoyLshJHbLrKIWAbYmfDb5/AI-Recommender---AAL?node-id=6245-42033&amp;p=f&amp;t=0So9BmVmkbUKGGje-0" TargetMode="External"/><Relationship Id="rId48" Type="http://schemas.openxmlformats.org/officeDocument/2006/relationships/hyperlink" Target="https://www.figma.com/design/Wd8aP365KciPipzoM7f7pg/Existing-CH---Standard-Upgrade-%2F-Early-Upgrade-(EUP)?t=E1ppO2dQ4AFlxrwJ-0" TargetMode="External"/><Relationship Id="rId47" Type="http://schemas.openxmlformats.org/officeDocument/2006/relationships/hyperlink" Target="https://www.figma.com/design/bh5tEmgYZvH4AhsXcKnJys/NGD---E2E-Paths?node-id=0-1&amp;node-type=canvas&amp;t=ipVm0vniAgMna40e-0" TargetMode="External"/><Relationship Id="rId49" Type="http://schemas.openxmlformats.org/officeDocument/2006/relationships/hyperlink" Target="https://www.figma.com/design/KlksafyON1LUfZeTPc2uGy/Undeliverable-Orders-%26-Tracking-Research?node-id=297-191565&amp;node-type=canvas&amp;t=fdkC7q2xvojj6fFc-0" TargetMode="External"/><Relationship Id="rId5" Type="http://schemas.openxmlformats.org/officeDocument/2006/relationships/hyperlink" Target="https://www.figma.com/design/nlazIeYTvc8wgUX4xoZ0kP/NGD-PDP---documentation?node-id=7340-28120&amp;p=f&amp;t=ACR0rvExfnB4pQJD-0" TargetMode="External"/><Relationship Id="rId6" Type="http://schemas.openxmlformats.org/officeDocument/2006/relationships/hyperlink" Target="https://docs.google.com/spreadsheets/d/1yDFlXXhQQaCZenIzNV_I2NRNCYeb2yYOjjdsOuR1eXE/edit?gid=736793826" TargetMode="External"/><Relationship Id="rId7" Type="http://schemas.openxmlformats.org/officeDocument/2006/relationships/hyperlink" Target="https://www.figma.com/design/cg0rH8ukqYX8duwTRkBlws/NGD-Offers?node-id=6768-37051&amp;p=f&amp;t=afGWQelNzWHVlYow-0" TargetMode="External"/><Relationship Id="rId8" Type="http://schemas.openxmlformats.org/officeDocument/2006/relationships/hyperlink" Target="https://www.figma.com/design/wDNLwxWFZV2fIdoX9QjN62/NGD-BMSM-BOGO-Deliverables?node-id=298-7061&amp;t=pbWoWCsHNL9BWnDz-0" TargetMode="External"/><Relationship Id="rId72" Type="http://schemas.openxmlformats.org/officeDocument/2006/relationships/vmlDrawing" Target="../drawings/vmlDrawing2.vml"/><Relationship Id="rId31" Type="http://schemas.openxmlformats.org/officeDocument/2006/relationships/hyperlink" Target="https://www.figma.com/design/4RzF7YhiSBUZkAAult2dAI/Gridwall-Initiatives-2025?node-id=0-1&amp;t=ORo0mfPSBlEKAuez-1" TargetMode="External"/><Relationship Id="rId30" Type="http://schemas.openxmlformats.org/officeDocument/2006/relationships/hyperlink" Target="https://www.figma.com/board/Bovcxkg75CsiBKRIW1jkCV/Urgency-messaging-audit?node-id=0-1&amp;t=NzZznhPsGcmDCCeL-0" TargetMode="External"/><Relationship Id="rId33" Type="http://schemas.openxmlformats.org/officeDocument/2006/relationships/hyperlink" Target="https://www.figma.com/board/w9JFfpLQXuYBSoQNVvCIHE/Roll-up-offers-brainstorming?node-id=0-1&amp;p=f&amp;t=tGBupu7n5HbP1a8f-0" TargetMode="External"/><Relationship Id="rId32" Type="http://schemas.openxmlformats.org/officeDocument/2006/relationships/hyperlink" Target="https://www.figma.com/design/xVyRIozI4kqSrBFAbJnmlC/My-Offers-Phase-1?node-id=716-12237&amp;p=f&amp;t=p6OYeQCdFnHnnjeH-0" TargetMode="External"/><Relationship Id="rId35" Type="http://schemas.openxmlformats.org/officeDocument/2006/relationships/hyperlink" Target="https://www.figma.com/design/cV8EdA8rav9L1bPRsnBKK1/Fly-out-Cart?node-id=332-15472&amp;p=f&amp;t=Fw0nZkp0fat6VMC0-0" TargetMode="External"/><Relationship Id="rId34" Type="http://schemas.openxmlformats.org/officeDocument/2006/relationships/hyperlink" Target="https://www.figma.com/design/AlGDlCz7c3oi3PlNzq6ra9/NGD-PDP-Prototypes?node-id=0-1&amp;p=f&amp;t=bmjvUCbraf278m3V-0" TargetMode="External"/><Relationship Id="rId71" Type="http://schemas.openxmlformats.org/officeDocument/2006/relationships/drawing" Target="../drawings/drawing2.xml"/><Relationship Id="rId70" Type="http://schemas.openxmlformats.org/officeDocument/2006/relationships/hyperlink" Target="https://www.figma.com/design/anY7CwOrX9GbN7H3H3zUhF/Port-Later-Optimization-Testing?node-id=909-5993&amp;node-type=canvas&amp;t=KdkWhfjdWBsDHKlS-0" TargetMode="External"/><Relationship Id="rId37" Type="http://schemas.openxmlformats.org/officeDocument/2006/relationships/hyperlink" Target="https://www.figma.com/design/FhCsZpEc3cQ85Db7Ib8ehK/NGD-Trade-in?node-id=1275-25438&amp;node-type=canvas&amp;t=GaAKSp5WXerQAs0R-0" TargetMode="External"/><Relationship Id="rId36" Type="http://schemas.openxmlformats.org/officeDocument/2006/relationships/hyperlink" Target="https://www.figma.com/design/beJhWOIPwcHLZfSLjqypdu/NGD-Multi-line?node-id=1667-108752&amp;node-type=canvas&amp;t=FKXMEEGfO4jklgKE-0" TargetMode="External"/><Relationship Id="rId39" Type="http://schemas.openxmlformats.org/officeDocument/2006/relationships/hyperlink" Target="https://www.figma.com/design/Wd8aP365KciPipzoM7f7pg/Existing-CH---Standard-Upgrade-%2F-Early-Upgrade-(EUP)?node-id=828-182809&amp;t=uy0NCIkWpqAEpMAn-4" TargetMode="External"/><Relationship Id="rId38" Type="http://schemas.openxmlformats.org/officeDocument/2006/relationships/hyperlink" Target="https://www.figma.com/design/na2qqI11eBhcQIPsshy1mw/Elvis---Upper-%26-Lower-Funnel?node-id=5075-5590&amp;t=lEAVYGj9z5P8Up6M-0" TargetMode="External"/><Relationship Id="rId62" Type="http://schemas.openxmlformats.org/officeDocument/2006/relationships/hyperlink" Target="https://www.figma.com/design/bFNBbjXtQgjktyWZaqEPnq/BAU-Future-Enhancements?node-id=829-113376&amp;node-type=canvas&amp;t=lx7rvWoJ4DWfDCTP-0" TargetMode="External"/><Relationship Id="rId61" Type="http://schemas.openxmlformats.org/officeDocument/2006/relationships/hyperlink" Target="https://www.figma.com/design/cQQUN2g7LnQ4TQD8pzvADF/Holiday-Offers-2024?t=w3yE1JomMuohlYcJ-0" TargetMode="External"/><Relationship Id="rId20" Type="http://schemas.openxmlformats.org/officeDocument/2006/relationships/hyperlink" Target="https://www.figma.com/design/HkBH9nCunknyCRPWLC4NUu/In-store-pickup?node-id=944-22131&amp;t=C83kNfyj3WVVdI4l-1" TargetMode="External"/><Relationship Id="rId64" Type="http://schemas.openxmlformats.org/officeDocument/2006/relationships/hyperlink" Target="https://www.figma.com/design/bYvHlqTQN966zEF7s9hlXm/BPK-Design?node-id=0-1&amp;node-type=canvas&amp;t=acFfkSVn3M9sA37w-0" TargetMode="External"/><Relationship Id="rId63" Type="http://schemas.openxmlformats.org/officeDocument/2006/relationships/hyperlink" Target="https://www.figma.com/design/0fujIlkaJ5qC2g8uGFDDcH/Trade-Anywhere?node-id=634-7676&amp;node-type=canvas&amp;t=4au2z8EZO4AARRo0-0" TargetMode="External"/><Relationship Id="rId22" Type="http://schemas.openxmlformats.org/officeDocument/2006/relationships/hyperlink" Target="https://docs.google.com/document/d/1JA4ajgLjhYTIiA8cllHPNoAthxLu9fjgcbFazvWEpoY/edit?tab=t.0" TargetMode="External"/><Relationship Id="rId66" Type="http://schemas.openxmlformats.org/officeDocument/2006/relationships/hyperlink" Target="https://www.figma.com/design/glXLgyvdEiYEhRZHttBAxV/T-60-Refinement-2025?node-id=3-12&amp;p=f&amp;t=JUGL5JEucjPtn2pN-0" TargetMode="External"/><Relationship Id="rId21" Type="http://schemas.openxmlformats.org/officeDocument/2006/relationships/hyperlink" Target="https://docs.google.com/spreadsheets/d/1DrOpbQ7X-769nBVVSLabhORiTsecf2lF6b7deyvEj-Q/edit?gid=302507019" TargetMode="External"/><Relationship Id="rId65" Type="http://schemas.openxmlformats.org/officeDocument/2006/relationships/hyperlink" Target="https://www.figma.com/design/Q7iJpjbBgWEp7oJSaGiVHO/Pro-on-the-go---POTG?node-id=2000-83945&amp;t=wUxFK3WsCvIq2PjI-0" TargetMode="External"/><Relationship Id="rId24" Type="http://schemas.openxmlformats.org/officeDocument/2006/relationships/hyperlink" Target="https://www.figma.com/design/fniS9ofNUHPV8Dvyj0Vk6d/Lump-Sum-Savings-vs-Monthly-Discount-(PDP-%3E-NGD-Sales-Flow)?node-id=7-55563&amp;t=j3ZlvJSAoKB1A8bk-1" TargetMode="External"/><Relationship Id="rId68" Type="http://schemas.openxmlformats.org/officeDocument/2006/relationships/hyperlink" Target="https://www.figma.com/design/OSDtRGKBILwp04uohJTCQG/FSS-Discovery?node-id=2251-160377&amp;t=97H7qGM2gzTv4i0V-0" TargetMode="External"/><Relationship Id="rId23" Type="http://schemas.openxmlformats.org/officeDocument/2006/relationships/hyperlink" Target="https://www.figma.com/design/Y9BYIVAgjgGhYz3T4lu0Ys/VCG-to-VBG-Traffic-Opportunities?node-id=10-6490&amp;t=GAaQfMurKtx2IPw0-1" TargetMode="External"/><Relationship Id="rId67" Type="http://schemas.openxmlformats.org/officeDocument/2006/relationships/hyperlink" Target="https://docs.google.com/presentation/d/128Ut7d2LgWmIs_jJjbGgQUQ_Z-QEK2hqf34dg6ENK48/edit" TargetMode="External"/><Relationship Id="rId60" Type="http://schemas.openxmlformats.org/officeDocument/2006/relationships/hyperlink" Target="https://www.figma.com/design/1BWmMRLzLYfzuSlmsRFn7g/One-Click-Upgrade?node-id=12609-43450&amp;node-type=canvas&amp;t=7BDckpOVeNCJ48AW-0" TargetMode="External"/><Relationship Id="rId26" Type="http://schemas.openxmlformats.org/officeDocument/2006/relationships/hyperlink" Target="https://www.figma.com/design/nlR6rJL6Y3PXxrBbmswM0h/Friends-and-Family-Refresh?node-id=1-3&amp;t=ctMV5vOevVm3lOyf-1" TargetMode="External"/><Relationship Id="rId25" Type="http://schemas.openxmlformats.org/officeDocument/2006/relationships/hyperlink" Target="https://www.figma.com/design/LOgt63A9vZlvAeqyZlI50g/Winback?node-id=2987-6208&amp;node-type=canvas&amp;t=Q0NJ0CjhfZl5v8nK-0" TargetMode="External"/><Relationship Id="rId69" Type="http://schemas.openxmlformats.org/officeDocument/2006/relationships/hyperlink" Target="https://www.figma.com/design/0MH2G4MdmpRmAIcoat8mNy/Second-Number-as-a-Perk?node-id=2414-30124&amp;p=f&amp;t=Q6nXMX0jbiNpvZmb-0" TargetMode="External"/><Relationship Id="rId28" Type="http://schemas.openxmlformats.org/officeDocument/2006/relationships/hyperlink" Target="https://www.figma.com/design/X8U9NTfDA2MINp88y6gelC/NGD-v2-6.18.24?node-id=11373-82456&amp;t=npkXbhN3PpoWjCM2-1" TargetMode="External"/><Relationship Id="rId27" Type="http://schemas.openxmlformats.org/officeDocument/2006/relationships/hyperlink" Target="https://www.figma.com/design/RdLLd6a3uCrHlwaXCU2lx8/Friends-%26-Family-Discount-LP?node-id=6-77&amp;node-type=canvas&amp;t=glMbejiYbEF8Ahfa-0" TargetMode="External"/><Relationship Id="rId29" Type="http://schemas.openxmlformats.org/officeDocument/2006/relationships/hyperlink" Target="https://docs.google.com/presentation/d/1UT6OAOlhWboCvfdh5kFp5atiAgGvE858nRHWphJWHVU/edit?usp=sharing" TargetMode="External"/><Relationship Id="rId51" Type="http://schemas.openxmlformats.org/officeDocument/2006/relationships/hyperlink" Target="https://www.figma.com/design/zYrc0qTDr9Pus5lgFPlS2X/Quick-Shop-Trade-in?node-id=127-9248&amp;node-type=section&amp;t=LWZL8JJIjxpXAApD-0" TargetMode="External"/><Relationship Id="rId50" Type="http://schemas.openxmlformats.org/officeDocument/2006/relationships/hyperlink" Target="https://www.figma.com/design/dXpjUNPquFQOhP0FJvieO4/Order-Tile-Standardization?node-id=10-51844&amp;node-type=canvas&amp;t=MFSxzgP3ASlHhVDX-0" TargetMode="External"/><Relationship Id="rId53" Type="http://schemas.openxmlformats.org/officeDocument/2006/relationships/hyperlink" Target="https://www.figma.com/design/dOVOV8J8MJ8ZdaR69YVlr7/Port?node-id=429-14087&amp;node-type=canvas&amp;t=DSQlkaFrZdBHvWLu-0" TargetMode="External"/><Relationship Id="rId52" Type="http://schemas.openxmlformats.org/officeDocument/2006/relationships/hyperlink" Target="https://www.figma.com/design/beJhWOIPwcHLZfSLjqypdu/NGD-Multi-line?node-id=1667-108752&amp;node-type=canvas&amp;t=FKXMEEGfO4jklgKE-0" TargetMode="External"/><Relationship Id="rId11" Type="http://schemas.openxmlformats.org/officeDocument/2006/relationships/hyperlink" Target="https://www.figma.com/design/6t3jshokh1SaBs2XBCtabP/NGDUP--Anytime-Upgrade?node-id=11-3915&amp;p=f&amp;t=bEjMYXz9TpYVdc4n-0" TargetMode="External"/><Relationship Id="rId55" Type="http://schemas.openxmlformats.org/officeDocument/2006/relationships/hyperlink" Target="https://www.figma.com/design/gnwxHLU7n7Snsh3E0Xw0XU/Project-IVY-39-inch?node-id=1-2&amp;node-type=canvas&amp;t=gb7wJhXEt96egv4W-0" TargetMode="External"/><Relationship Id="rId10" Type="http://schemas.openxmlformats.org/officeDocument/2006/relationships/hyperlink" Target="https://www.verizon.com/discounts/phone-home-internet-bundle/" TargetMode="External"/><Relationship Id="rId54" Type="http://schemas.openxmlformats.org/officeDocument/2006/relationships/hyperlink" Target="https://www.figma.com/design/2iTaHeRNnajDPrKUU1XZq9/Round-Up-Project?node-id=25-4177&amp;node-type=canvas&amp;t=K0qzBjgeRu5KZ6xd-0" TargetMode="External"/><Relationship Id="rId13" Type="http://schemas.openxmlformats.org/officeDocument/2006/relationships/hyperlink" Target="https://www.figma.com/design/nlazIeYTvc8wgUX4xoZ0kP/NGD-PDP---documentation?node-id=14270-15312&amp;p=f&amp;t=ACR0rvExfnB4pQJD-0" TargetMode="External"/><Relationship Id="rId57" Type="http://schemas.openxmlformats.org/officeDocument/2006/relationships/hyperlink" Target="https://docs.google.com/document/d/1CudWS4bGZCjEAIBxxmd0QQFd2AYAx33PoUY2VCBDpts/edit" TargetMode="External"/><Relationship Id="rId12" Type="http://schemas.openxmlformats.org/officeDocument/2006/relationships/hyperlink" Target="https://www.figma.com/design/FR7P4Q9xGmDIGz2DkEZvpH/Indiana-Buy-Flow-01?node-id=2907-2756&amp;p=f&amp;t=Fde2ROkCowTyC003-0" TargetMode="External"/><Relationship Id="rId56" Type="http://schemas.openxmlformats.org/officeDocument/2006/relationships/hyperlink" Target="https://www.figma.com/design/7wzX70tPG5EyPEeQd0UhSw/15%22-Protection-Zone-Prototype---Design?node-id=3-602&amp;node-type=canvas&amp;t=tsmAL6oIJyFWBe1Y-0" TargetMode="External"/><Relationship Id="rId15" Type="http://schemas.openxmlformats.org/officeDocument/2006/relationships/hyperlink" Target="https://www.figma.com/design/YohnXhRWpV2VblbWUEUMF2/NGD-AAL?node-id=5752-6849&amp;t=1eRLeaoEg7RobGli-0" TargetMode="External"/><Relationship Id="rId59" Type="http://schemas.openxmlformats.org/officeDocument/2006/relationships/hyperlink" Target="https://www.figma.com/design/LFyC6U7ed8gnUbxAROuEEh/Pay-Off-Flows-for-Upgrade?node-id=1-205365&amp;node-type=canvas&amp;t=MqBTv1IVo6QwBADE-0" TargetMode="External"/><Relationship Id="rId14" Type="http://schemas.openxmlformats.org/officeDocument/2006/relationships/hyperlink" Target="https://docs.google.com/spreadsheets/d/1KSHSZjEiohMsqx8ZjzuHZ6t5wp_Bsw4Jtk-X7zlwbS0/edit?gid=0" TargetMode="External"/><Relationship Id="rId58" Type="http://schemas.openxmlformats.org/officeDocument/2006/relationships/hyperlink" Target="https://www.figma.com/design/0zzymKJUTgMwFelxt9wqKF/Arrival---Check-in-Kiosk-Designs?node-id=3707-5156&amp;node-type=frame&amp;t=J8vXvoTtPaYbM3rj-0" TargetMode="External"/><Relationship Id="rId17" Type="http://schemas.openxmlformats.org/officeDocument/2006/relationships/hyperlink" Target="https://www.figma.com/design/6Nzlcs7znwuWAG2rcQEdAu/Homepage-to-Cart-Explorations?node-id=4-52198&amp;p=f&amp;t=ECLUhnjApDMQ6cOC-0" TargetMode="External"/><Relationship Id="rId16" Type="http://schemas.openxmlformats.org/officeDocument/2006/relationships/hyperlink" Target="https://www.figma.com/design/blIEnL3ggvLkQIq8V8UIJf/Plans-First?node-id=2216-27110&amp;p=f&amp;t=wWlUxinXuvsZQEem-0" TargetMode="External"/><Relationship Id="rId19" Type="http://schemas.openxmlformats.org/officeDocument/2006/relationships/hyperlink" Target="https://www.figma.com/design/fTZI509zY4N4ukxHbY2mpC/NGD-%2B-Elvis?node-id=0-1&amp;t=94J06Fc7Av6kAS7V-1" TargetMode="External"/><Relationship Id="rId18" Type="http://schemas.openxmlformats.org/officeDocument/2006/relationships/hyperlink" Target="https://www.figma.com/design/DwEIgqRpOtHReHSttHFnIC/Unified-Pricing-Copy-Variants?node-id=439-26808&amp;p=f&amp;t=bzVg9MeVrnrdRhH1-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gma.com/design/9LHd6tsLTNJoPGKyZO0ldy/RTM_Cart-Urgency-NEW?node-id=0-1&amp;node-type=canvas&amp;t=T8kGeUBsewsH9eF5-0" TargetMode="External"/><Relationship Id="rId2" Type="http://schemas.openxmlformats.org/officeDocument/2006/relationships/hyperlink" Target="https://docs.google.com/presentation/d/1QCb6XMFmkAmS_AjcwPA77QsI_s66LPD_7_p5XIiAlaQ/edit"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figma.com/design/lWTgP5shGOuLBILhHa6h3h/Prepaid-International-Dashboard-%7C-July-2024?t=jNDN8ZL3v3Rmnuwd-0" TargetMode="External"/><Relationship Id="rId3" Type="http://schemas.openxmlformats.org/officeDocument/2006/relationships/hyperlink" Target="https://www.figma.com/design/PBmtoFqzOmkA5wkJsCxA2s/Monarch---Verizon-Prepaid-Plans-Page-Revamp?t=pCqrczOHZL7MNQbn-0" TargetMode="External"/><Relationship Id="rId4" Type="http://schemas.openxmlformats.org/officeDocument/2006/relationships/hyperlink" Target="https://www.figma.com/design/GxiMmHJeQLKa2QrWpEUwUQ/Project-Fandom?t=pCqrczOHZL7MNQbn-0" TargetMode="External"/><Relationship Id="rId9" Type="http://schemas.openxmlformats.org/officeDocument/2006/relationships/vmlDrawing" Target="../drawings/vmlDrawing3.vml"/><Relationship Id="rId5" Type="http://schemas.openxmlformats.org/officeDocument/2006/relationships/hyperlink" Target="https://www.figma.com/design/pySjSHcZ0YRTpniECRD2ZD/Activate-%26-Switch-2024?node-id=4602-3255&amp;t=QO1FG9f6rLO6cJCN-4" TargetMode="External"/><Relationship Id="rId6" Type="http://schemas.openxmlformats.org/officeDocument/2006/relationships/hyperlink" Target="https://www.figma.com/design/R4GhVdgXAXr0oOqwEUxaEw/SmartSetup_Backup?t=UW5JnDjbrLdc777H-0" TargetMode="External"/><Relationship Id="rId7" Type="http://schemas.openxmlformats.org/officeDocument/2006/relationships/hyperlink" Target="https://www.figma.com/design/pySjSHcZ0YRTpniECRD2ZD/Activate-%26-Switch-2024?node-id=4602-3255&amp;t=QO1FG9f6rLO6cJCN-4"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figma.com/board/xEZ2hypu8ZzYAzcOSbyzKy/Nomeclature-Visual-Aids?node-id=0-1&amp;t=QzHNyVrTGWr7RtIc-0"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presentation/d/1FEuQmX9Tu44Rxf70Ne2YekzAqIzLSSqSwBY_QTz6qoc/edit" TargetMode="External"/><Relationship Id="rId2" Type="http://schemas.openxmlformats.org/officeDocument/2006/relationships/hyperlink" Target="https://www.figma.com/design/X8U9NTfDA2MINp88y6gelC/NGD-v2-6.18.24?node-id=11373-82456&amp;t=npkXbhN3PpoWjCM2-1" TargetMode="External"/><Relationship Id="rId3" Type="http://schemas.openxmlformats.org/officeDocument/2006/relationships/hyperlink" Target="https://docs.google.com/spreadsheets/d/11E9c0lkLkt_Ck7lMtrWlGwvpjvBqh9Xlu33JtPg1rvM/edit?gid=0" TargetMode="External"/><Relationship Id="rId4" Type="http://schemas.openxmlformats.org/officeDocument/2006/relationships/hyperlink" Target="https://www.figma.com/design/gq7xaHXyXKWFkMXyFCQSgD/VBM-Email-offer-expired%2Fun-enriched-error-11.15.24?node-id=0-1&amp;t=N13JrDEa5xjyzOEL-1" TargetMode="External"/><Relationship Id="rId9" Type="http://schemas.openxmlformats.org/officeDocument/2006/relationships/hyperlink" Target="https://docs.google.com/spreadsheets/d/1UeUoGQ0aFfn-7wP_v5xLXAZ6wN5LZq26dBnvqwExg84/edit?gid=262405000" TargetMode="External"/><Relationship Id="rId5" Type="http://schemas.openxmlformats.org/officeDocument/2006/relationships/hyperlink" Target="https://www.figma.com/design/zreea95lSL8BvAEiX2OnfY/Home-offers-(Fios)?node-id=11054-31302&amp;t=olWaMscqPTzzvyIF-1" TargetMode="External"/><Relationship Id="rId6" Type="http://schemas.openxmlformats.org/officeDocument/2006/relationships/hyperlink" Target="https://www.figma.com/design/tByVx6wtC8T0heQa5ZPPek/PDP-Design-Requests?node-id=10717-47843&amp;t=V5hvFSwIcamBmW8W-1" TargetMode="External"/><Relationship Id="rId7" Type="http://schemas.openxmlformats.org/officeDocument/2006/relationships/hyperlink" Target="https://docs.google.com/presentation/d/15UsWy8pSvXME8Zl1_v0LCuoA5UOZG6uHlvqe4zpE20Q/edit" TargetMode="External"/><Relationship Id="rId8" Type="http://schemas.openxmlformats.org/officeDocument/2006/relationships/hyperlink" Target="https://www.figma.com/design/DwEIgqRpOtHReHSttHFnIC/Total-device-cost-section---Variants?node-id=70-16349&amp;t=KPdoCt7RJ3LJldCH-1" TargetMode="External"/><Relationship Id="rId20" Type="http://schemas.openxmlformats.org/officeDocument/2006/relationships/hyperlink" Target="https://docs.google.com/spreadsheets/d/1yDFlXXhQQaCZenIzNV_I2NRNCYeb2yYOjjdsOuR1eXE/edit?gid=1613979366" TargetMode="External"/><Relationship Id="rId22" Type="http://schemas.openxmlformats.org/officeDocument/2006/relationships/hyperlink" Target="https://docs.google.com/spreadsheets/d/1yDFlXXhQQaCZenIzNV_I2NRNCYeb2yYOjjdsOuR1eXE/edit?gid=0" TargetMode="External"/><Relationship Id="rId21" Type="http://schemas.openxmlformats.org/officeDocument/2006/relationships/hyperlink" Target="https://www.figma.com/design/nlazIeYTvc8wgUX4xoZ0kP/NGD-PDP---documentation?node-id=114-23334&amp;p=f&amp;t=AT172XHbIFE2cfLE-0" TargetMode="External"/><Relationship Id="rId24" Type="http://schemas.openxmlformats.org/officeDocument/2006/relationships/hyperlink" Target="https://www.figma.com/design/nlazIeYTvc8wgUX4xoZ0kP/NGD-PDP---documentation?node-id=114-23334&amp;p=f&amp;t=AT172XHbIFE2cfLE-0" TargetMode="External"/><Relationship Id="rId23" Type="http://schemas.openxmlformats.org/officeDocument/2006/relationships/hyperlink" Target="https://app.usertesting.com/workspaces/999242/study/5321656/sessions" TargetMode="External"/><Relationship Id="rId26" Type="http://schemas.openxmlformats.org/officeDocument/2006/relationships/hyperlink" Target="https://www.figma.com/design/nlazIeYTvc8wgUX4xoZ0kP/NGD-PDP---documentation?node-id=43-8137&amp;p=f&amp;t=8uXZLSLKsFXktRbu-0" TargetMode="External"/><Relationship Id="rId25" Type="http://schemas.openxmlformats.org/officeDocument/2006/relationships/hyperlink" Target="https://docs.google.com/spreadsheets/d/1yDFlXXhQQaCZenIzNV_I2NRNCYeb2yYOjjdsOuR1eXE/edit?gid=0" TargetMode="External"/><Relationship Id="rId28" Type="http://schemas.openxmlformats.org/officeDocument/2006/relationships/drawing" Target="../drawings/drawing9.xml"/><Relationship Id="rId27" Type="http://schemas.openxmlformats.org/officeDocument/2006/relationships/hyperlink" Target="https://docs.google.com/spreadsheets/d/1yDFlXXhQQaCZenIzNV_I2NRNCYeb2yYOjjdsOuR1eXE/edit?gid=1613979366" TargetMode="External"/><Relationship Id="rId11" Type="http://schemas.openxmlformats.org/officeDocument/2006/relationships/hyperlink" Target="https://www.figma.com/design/YFyhIpOf4JMOQOdgQvQqjQ/Banking-LP?node-id=127-1484&amp;t=SQy4qcypOA3CaCt9-1" TargetMode="External"/><Relationship Id="rId10" Type="http://schemas.openxmlformats.org/officeDocument/2006/relationships/hyperlink" Target="https://www.figma.com/design/DYh4TZ86L5reseYmtnjWow/Quick-View-2.0?node-id=1-2&amp;t=avkrwpuWnQqpGJdx-1" TargetMode="External"/><Relationship Id="rId13" Type="http://schemas.openxmlformats.org/officeDocument/2006/relationships/hyperlink" Target="https://www.figma.com/design/Cujo9j3Ux2qr6V60nZIQ0t/NGD-Browse---Recently-Viewed?node-id=862-6269&amp;t=IF1MrCY5nTbbYU94-1" TargetMode="External"/><Relationship Id="rId12" Type="http://schemas.openxmlformats.org/officeDocument/2006/relationships/hyperlink" Target="https://www.figma.com/design/gbcQf0kQzp01TcoIU2165j/NGD-Browse---Quick-Links?node-id=1065-270&amp;t=5F2yZHdWxD4SIPo4-1" TargetMode="External"/><Relationship Id="rId15" Type="http://schemas.openxmlformats.org/officeDocument/2006/relationships/hyperlink" Target="https://docs.google.com/presentation/d/1L3N1zPb-17spkTIptoWi2uFPsmN7SuD6ZdXtKW-3m9c/edit" TargetMode="External"/><Relationship Id="rId14" Type="http://schemas.openxmlformats.org/officeDocument/2006/relationships/hyperlink" Target="https://docs.google.com/spreadsheets/d/1JYWLFivUUg7Fwr5ZlKVQCFXJgzZeY04FEPklA4BMoes/edit?gid=0" TargetMode="External"/><Relationship Id="rId17" Type="http://schemas.openxmlformats.org/officeDocument/2006/relationships/hyperlink" Target="https://www.figma.com/board/ryN5MRvwqqTUc1yT4gPWbt/Saving-Center-FigJam-Ideation-board?node-id=0-1&amp;t=QmQUWc5MMRMIVBqJ-1" TargetMode="External"/><Relationship Id="rId16" Type="http://schemas.openxmlformats.org/officeDocument/2006/relationships/hyperlink" Target="https://www.figma.com/design/4RzF7YhiSBUZkAAult2dAI/Gridwall-Initiatives-2025?node-id=0-1&amp;t=ORo0mfPSBlEKAuez-1" TargetMode="External"/><Relationship Id="rId19" Type="http://schemas.openxmlformats.org/officeDocument/2006/relationships/hyperlink" Target="https://www.figma.com/design/nlazIeYTvc8wgUX4xoZ0kP/NGD-PDP---documentation?node-id=7340-28120&amp;p=f&amp;t=rj28JF5eLUd6XkzA-0" TargetMode="External"/><Relationship Id="rId18" Type="http://schemas.openxmlformats.org/officeDocument/2006/relationships/hyperlink" Target="https://www.figma.com/design/bh5tEmgYZvH4AhsXcKnJys/NGD---E2E-Paths?node-id=1325-34305&amp;p=f&amp;t=Uq7Cm1PcN4PZkGy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3.5"/>
    <col customWidth="1" min="4" max="4" width="7.5"/>
    <col customWidth="1" min="5" max="5" width="15.25"/>
    <col customWidth="1" min="7" max="7" width="6.38"/>
    <col customWidth="1" min="8" max="8" width="29.75"/>
    <col customWidth="1" min="10" max="10" width="5.63"/>
    <col customWidth="1" min="11" max="11" width="26.75"/>
    <col customWidth="1" min="12" max="12" width="25.5"/>
  </cols>
  <sheetData>
    <row r="1">
      <c r="A1" s="1" t="s">
        <v>0</v>
      </c>
      <c r="B1" s="2"/>
      <c r="C1" s="2"/>
      <c r="D1" s="2"/>
      <c r="E1" s="2"/>
      <c r="F1" s="2"/>
      <c r="G1" s="2"/>
      <c r="H1" s="2"/>
      <c r="I1" s="2"/>
      <c r="J1" s="2"/>
      <c r="K1" s="2"/>
      <c r="L1" s="3"/>
    </row>
    <row r="2">
      <c r="A2" s="4"/>
      <c r="C2" s="5"/>
      <c r="L2" s="5"/>
    </row>
    <row r="3">
      <c r="A3" s="4"/>
      <c r="C3" s="5"/>
      <c r="L3" s="5"/>
    </row>
    <row r="4">
      <c r="A4" s="4"/>
      <c r="B4" s="6" t="s">
        <v>1</v>
      </c>
      <c r="C4" s="5"/>
      <c r="E4" s="7" t="s">
        <v>2</v>
      </c>
      <c r="F4" s="8" t="s">
        <v>3</v>
      </c>
      <c r="H4" s="6" t="s">
        <v>4</v>
      </c>
      <c r="I4" s="6" t="s">
        <v>4</v>
      </c>
      <c r="K4" s="6" t="s">
        <v>5</v>
      </c>
      <c r="L4" s="5"/>
    </row>
    <row r="5">
      <c r="A5" s="4"/>
      <c r="C5" s="5"/>
      <c r="E5" s="9" t="s">
        <v>6</v>
      </c>
      <c r="F5" s="10">
        <f>'Sales Funnel'!K33</f>
        <v>0.89</v>
      </c>
      <c r="H5" s="11" t="s">
        <v>7</v>
      </c>
      <c r="K5" s="12" t="s">
        <v>8</v>
      </c>
      <c r="L5" s="5"/>
    </row>
    <row r="6">
      <c r="A6" s="4"/>
      <c r="C6" s="5"/>
      <c r="E6" s="9" t="s">
        <v>9</v>
      </c>
      <c r="F6" s="10">
        <f>'Sales Funnel'!K59</f>
        <v>0.93</v>
      </c>
      <c r="H6" s="13" t="s">
        <v>10</v>
      </c>
      <c r="L6" s="5"/>
    </row>
    <row r="7">
      <c r="A7" s="4"/>
      <c r="C7" s="5"/>
      <c r="E7" s="9" t="s">
        <v>11</v>
      </c>
      <c r="F7" s="10">
        <f>SUM('Sales Funnel'!K77+'Strategic Initiatives'!K12+RTM!G2:G10)</f>
        <v>0.56</v>
      </c>
      <c r="L7" s="5"/>
    </row>
    <row r="8">
      <c r="A8" s="4"/>
      <c r="C8" s="5"/>
      <c r="D8" s="5"/>
      <c r="E8" s="14" t="s">
        <v>12</v>
      </c>
      <c r="F8" s="10">
        <f>SUM('Sales Funnel'!K80:K85)+SUM('Prepaid  Device Activation'!I2:I7)</f>
        <v>0.6</v>
      </c>
      <c r="L8" s="5"/>
    </row>
    <row r="9">
      <c r="A9" s="4"/>
      <c r="C9" s="5"/>
      <c r="D9" s="5"/>
      <c r="E9" s="14" t="s">
        <v>13</v>
      </c>
      <c r="F9" s="10">
        <f>'Sales Funnel'!K117</f>
        <v>0.65</v>
      </c>
      <c r="L9" s="5"/>
    </row>
    <row r="10">
      <c r="A10" s="4"/>
      <c r="C10" s="5"/>
      <c r="E10" s="15" t="s">
        <v>14</v>
      </c>
      <c r="F10" s="16">
        <f>'Sales Funnel'!K131+'DOBRTMmisc. Archive'!D2+'DOBRTMmisc. Archive'!D3</f>
        <v>0.5</v>
      </c>
      <c r="H10" s="6" t="s">
        <v>15</v>
      </c>
      <c r="I10" s="6" t="s">
        <v>16</v>
      </c>
      <c r="L10" s="5"/>
    </row>
    <row r="11">
      <c r="A11" s="4"/>
      <c r="C11" s="5"/>
      <c r="H11" s="11" t="s">
        <v>17</v>
      </c>
      <c r="I11" s="13" t="s">
        <v>18</v>
      </c>
      <c r="L11" s="5"/>
    </row>
    <row r="12">
      <c r="A12" s="4"/>
      <c r="C12" s="5"/>
      <c r="H12" s="13" t="s">
        <v>19</v>
      </c>
      <c r="I12" s="13" t="s">
        <v>20</v>
      </c>
      <c r="L12" s="5"/>
    </row>
    <row r="13">
      <c r="A13" s="4"/>
      <c r="C13" s="5"/>
      <c r="H13" s="13" t="s">
        <v>21</v>
      </c>
      <c r="I13" s="13" t="s">
        <v>22</v>
      </c>
      <c r="L13" s="5"/>
    </row>
    <row r="14">
      <c r="A14" s="4"/>
      <c r="B14" s="6" t="s">
        <v>23</v>
      </c>
      <c r="C14" s="5"/>
      <c r="H14" s="13" t="s">
        <v>24</v>
      </c>
      <c r="I14" s="13" t="s">
        <v>25</v>
      </c>
      <c r="L14" s="5"/>
    </row>
    <row r="15">
      <c r="A15" s="4"/>
      <c r="B15" s="13" t="s">
        <v>26</v>
      </c>
      <c r="C15" s="5"/>
      <c r="H15" s="13" t="s">
        <v>27</v>
      </c>
      <c r="I15" s="13" t="s">
        <v>6</v>
      </c>
      <c r="K15" s="6" t="s">
        <v>28</v>
      </c>
      <c r="L15" s="6" t="s">
        <v>29</v>
      </c>
    </row>
    <row r="16">
      <c r="A16" s="4"/>
      <c r="B16" s="12" t="s">
        <v>30</v>
      </c>
      <c r="C16" s="5"/>
      <c r="H16" s="13" t="s">
        <v>31</v>
      </c>
      <c r="I16" s="13" t="s">
        <v>25</v>
      </c>
      <c r="K16" s="17" t="s">
        <v>32</v>
      </c>
      <c r="L16" s="18" t="s">
        <v>33</v>
      </c>
    </row>
    <row r="17">
      <c r="A17" s="4"/>
      <c r="B17" s="19"/>
      <c r="C17" s="5"/>
      <c r="H17" s="20" t="s">
        <v>34</v>
      </c>
      <c r="I17" s="13" t="s">
        <v>22</v>
      </c>
      <c r="L17" s="5"/>
    </row>
    <row r="18">
      <c r="A18" s="4"/>
      <c r="C18" s="5"/>
      <c r="H18" s="13" t="s">
        <v>35</v>
      </c>
      <c r="I18" s="13" t="s">
        <v>25</v>
      </c>
      <c r="L18" s="5"/>
    </row>
    <row r="19">
      <c r="A19" s="4"/>
      <c r="C19" s="5"/>
      <c r="L19" s="5"/>
    </row>
    <row r="20">
      <c r="A20" s="4"/>
      <c r="C20" s="5"/>
      <c r="L20" s="5"/>
    </row>
    <row r="21">
      <c r="A21" s="4"/>
      <c r="C21" s="5"/>
      <c r="K21" s="21"/>
      <c r="L21" s="22"/>
    </row>
    <row r="22">
      <c r="A22" s="23"/>
      <c r="B22" s="23"/>
      <c r="C22" s="23"/>
      <c r="D22" s="23"/>
      <c r="E22" s="23"/>
      <c r="F22" s="23"/>
      <c r="G22" s="23"/>
      <c r="H22" s="23"/>
      <c r="I22" s="23"/>
      <c r="J22" s="23"/>
    </row>
    <row r="23">
      <c r="B23" s="6" t="s">
        <v>36</v>
      </c>
      <c r="C23" s="6" t="s">
        <v>37</v>
      </c>
    </row>
    <row r="24">
      <c r="B24" s="13" t="s">
        <v>38</v>
      </c>
      <c r="C24" s="24">
        <v>0.1</v>
      </c>
    </row>
    <row r="25">
      <c r="B25" s="13" t="s">
        <v>39</v>
      </c>
      <c r="C25" s="24">
        <v>0.9</v>
      </c>
    </row>
  </sheetData>
  <mergeCells count="1">
    <mergeCell ref="A1:L1"/>
  </mergeCells>
  <conditionalFormatting sqref="F5:F10">
    <cfRule type="cellIs" dxfId="0" priority="1" operator="lessThan">
      <formula>"30%"</formula>
    </cfRule>
  </conditionalFormatting>
  <conditionalFormatting sqref="F5:F10">
    <cfRule type="cellIs" dxfId="1" priority="2" operator="between">
      <formula>"30%"</formula>
      <formula>"60%"</formula>
    </cfRule>
  </conditionalFormatting>
  <conditionalFormatting sqref="F5:F10">
    <cfRule type="cellIs" dxfId="2" priority="3" operator="between">
      <formula>"60%"</formula>
      <formula>"80%"</formula>
    </cfRule>
  </conditionalFormatting>
  <conditionalFormatting sqref="F5:F10">
    <cfRule type="cellIs" dxfId="3" priority="4" operator="greaterThan">
      <formula>"80%"</formula>
    </cfRule>
  </conditionalFormatting>
  <hyperlinks>
    <hyperlink r:id="rId2" location="gid=0" ref="K5"/>
    <hyperlink r:id="rId3" ref="B16"/>
    <hyperlink r:id="rId4" location="slide=id.g2fc6d73b04d_0_309" ref="K16"/>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88"/>
    <col customWidth="1" min="2" max="2" width="29.5"/>
    <col customWidth="1" min="3" max="3" width="26.63"/>
    <col customWidth="1" min="4" max="4" width="17.5"/>
    <col customWidth="1" min="5" max="5" width="26.0"/>
    <col customWidth="1" min="7" max="7" width="15.63"/>
    <col customWidth="1" min="8" max="8" width="17.75"/>
    <col customWidth="1" min="9" max="9" width="15.25"/>
    <col customWidth="1" min="10" max="10" width="13.75"/>
    <col customWidth="1" min="11" max="11" width="15.88"/>
    <col customWidth="1" min="13" max="13" width="26.0"/>
    <col customWidth="1" min="15" max="15" width="18.0"/>
  </cols>
  <sheetData>
    <row r="1">
      <c r="A1" s="25" t="s">
        <v>2</v>
      </c>
      <c r="B1" s="26" t="s">
        <v>40</v>
      </c>
      <c r="C1" s="26" t="s">
        <v>41</v>
      </c>
      <c r="D1" s="26" t="s">
        <v>42</v>
      </c>
      <c r="E1" s="25" t="s">
        <v>43</v>
      </c>
      <c r="F1" s="26" t="s">
        <v>44</v>
      </c>
      <c r="G1" s="25" t="s">
        <v>45</v>
      </c>
      <c r="H1" s="26" t="s">
        <v>46</v>
      </c>
      <c r="I1" s="6" t="s">
        <v>47</v>
      </c>
      <c r="J1" s="26" t="s">
        <v>48</v>
      </c>
      <c r="K1" s="26" t="s">
        <v>49</v>
      </c>
      <c r="L1" s="26" t="s">
        <v>50</v>
      </c>
      <c r="M1" s="6" t="s">
        <v>51</v>
      </c>
      <c r="N1" s="6" t="s">
        <v>52</v>
      </c>
      <c r="O1" s="26" t="s">
        <v>53</v>
      </c>
      <c r="P1" s="6" t="s">
        <v>54</v>
      </c>
    </row>
    <row r="2">
      <c r="A2" s="27" t="s">
        <v>55</v>
      </c>
      <c r="B2" s="28"/>
      <c r="C2" s="28"/>
      <c r="D2" s="28"/>
      <c r="E2" s="29"/>
      <c r="F2" s="28"/>
      <c r="G2" s="29"/>
      <c r="H2" s="28"/>
      <c r="I2" s="28"/>
      <c r="J2" s="28"/>
      <c r="K2" s="30"/>
      <c r="L2" s="31"/>
      <c r="M2" s="28"/>
      <c r="N2" s="28"/>
      <c r="O2" s="32"/>
      <c r="P2" s="28"/>
      <c r="Q2" s="28"/>
      <c r="R2" s="28"/>
      <c r="S2" s="28"/>
      <c r="T2" s="28"/>
      <c r="U2" s="28"/>
      <c r="V2" s="28"/>
      <c r="W2" s="28"/>
      <c r="X2" s="28"/>
      <c r="Y2" s="28"/>
      <c r="Z2" s="28"/>
      <c r="AA2" s="28"/>
      <c r="AB2" s="28"/>
      <c r="AC2" s="28"/>
      <c r="AD2" s="28"/>
      <c r="AE2" s="28"/>
    </row>
    <row r="3" ht="41.25" customHeight="1">
      <c r="A3" s="14" t="s">
        <v>6</v>
      </c>
      <c r="B3" s="20" t="s">
        <v>56</v>
      </c>
      <c r="C3" s="13" t="s">
        <v>57</v>
      </c>
      <c r="D3" s="13" t="s">
        <v>58</v>
      </c>
      <c r="E3" s="18" t="s">
        <v>59</v>
      </c>
      <c r="G3" s="33" t="s">
        <v>60</v>
      </c>
      <c r="H3" s="13" t="s">
        <v>61</v>
      </c>
      <c r="J3" s="13" t="s">
        <v>62</v>
      </c>
      <c r="K3" s="24">
        <v>0.01</v>
      </c>
      <c r="L3" s="34" t="s">
        <v>63</v>
      </c>
      <c r="M3" s="35" t="s">
        <v>64</v>
      </c>
      <c r="O3" s="36">
        <v>45961.0</v>
      </c>
    </row>
    <row r="4" ht="27.0" customHeight="1">
      <c r="A4" s="14" t="s">
        <v>65</v>
      </c>
      <c r="B4" s="35" t="s">
        <v>66</v>
      </c>
      <c r="C4" s="13" t="s">
        <v>57</v>
      </c>
      <c r="D4" s="13" t="s">
        <v>58</v>
      </c>
      <c r="E4" s="18" t="s">
        <v>59</v>
      </c>
      <c r="F4" s="37" t="s">
        <v>67</v>
      </c>
      <c r="G4" s="38" t="s">
        <v>68</v>
      </c>
      <c r="H4" s="13" t="s">
        <v>61</v>
      </c>
      <c r="J4" s="13" t="s">
        <v>69</v>
      </c>
      <c r="K4" s="24">
        <v>0.05</v>
      </c>
      <c r="L4" s="39">
        <v>45595.0</v>
      </c>
      <c r="M4" s="20" t="s">
        <v>70</v>
      </c>
      <c r="N4" s="13"/>
      <c r="O4" s="39">
        <v>45961.0</v>
      </c>
    </row>
    <row r="5" ht="22.5" customHeight="1">
      <c r="A5" s="14" t="s">
        <v>65</v>
      </c>
      <c r="B5" s="20" t="s">
        <v>71</v>
      </c>
      <c r="C5" s="13" t="s">
        <v>57</v>
      </c>
      <c r="D5" s="13" t="s">
        <v>72</v>
      </c>
      <c r="E5" s="40"/>
      <c r="F5" s="19"/>
      <c r="G5" s="41"/>
      <c r="H5" s="13"/>
      <c r="J5" s="35" t="s">
        <v>73</v>
      </c>
      <c r="K5" s="24">
        <v>0.05</v>
      </c>
      <c r="L5" s="42">
        <v>45901.0</v>
      </c>
      <c r="M5" s="20" t="s">
        <v>74</v>
      </c>
      <c r="O5" s="39">
        <v>45961.0</v>
      </c>
    </row>
    <row r="6" ht="22.5" customHeight="1">
      <c r="A6" s="14" t="s">
        <v>6</v>
      </c>
      <c r="B6" s="20" t="s">
        <v>75</v>
      </c>
      <c r="C6" s="13" t="s">
        <v>76</v>
      </c>
      <c r="D6" s="13" t="s">
        <v>77</v>
      </c>
      <c r="E6" s="40" t="s">
        <v>78</v>
      </c>
      <c r="F6" s="43" t="s">
        <v>79</v>
      </c>
      <c r="G6" s="43" t="s">
        <v>80</v>
      </c>
      <c r="H6" s="13" t="s">
        <v>81</v>
      </c>
      <c r="J6" s="13" t="s">
        <v>82</v>
      </c>
      <c r="K6" s="24">
        <v>0.05</v>
      </c>
      <c r="L6" s="42">
        <v>45859.0</v>
      </c>
      <c r="M6" s="20" t="s">
        <v>83</v>
      </c>
      <c r="O6" s="39">
        <v>45961.0</v>
      </c>
    </row>
    <row r="7">
      <c r="A7" s="14" t="s">
        <v>6</v>
      </c>
      <c r="B7" s="13" t="s">
        <v>84</v>
      </c>
      <c r="C7" s="13" t="s">
        <v>85</v>
      </c>
      <c r="D7" s="13" t="s">
        <v>86</v>
      </c>
      <c r="E7" s="40"/>
      <c r="F7" s="44"/>
      <c r="G7" s="5"/>
      <c r="H7" s="13"/>
      <c r="I7" s="19"/>
      <c r="J7" s="35"/>
      <c r="K7" s="24">
        <v>0.1</v>
      </c>
      <c r="L7" s="42">
        <v>45951.0</v>
      </c>
      <c r="M7" s="35" t="s">
        <v>87</v>
      </c>
      <c r="O7" s="39">
        <v>45961.0</v>
      </c>
    </row>
    <row r="8" ht="19.5" customHeight="1">
      <c r="A8" s="14" t="s">
        <v>6</v>
      </c>
      <c r="B8" s="13" t="s">
        <v>88</v>
      </c>
      <c r="C8" s="13" t="s">
        <v>89</v>
      </c>
      <c r="D8" s="13" t="s">
        <v>77</v>
      </c>
      <c r="E8" s="40" t="s">
        <v>90</v>
      </c>
      <c r="F8" s="37" t="s">
        <v>91</v>
      </c>
      <c r="G8" s="5"/>
      <c r="H8" s="13" t="s">
        <v>61</v>
      </c>
      <c r="J8" s="35" t="s">
        <v>92</v>
      </c>
      <c r="K8" s="24">
        <v>0.0</v>
      </c>
      <c r="L8" s="45">
        <v>45943.0</v>
      </c>
      <c r="M8" s="35" t="s">
        <v>93</v>
      </c>
      <c r="O8" s="39">
        <v>45953.0</v>
      </c>
    </row>
    <row r="9">
      <c r="A9" s="14" t="s">
        <v>6</v>
      </c>
      <c r="B9" s="13" t="s">
        <v>94</v>
      </c>
      <c r="C9" s="13" t="s">
        <v>76</v>
      </c>
      <c r="D9" s="13" t="s">
        <v>77</v>
      </c>
      <c r="E9" s="40" t="s">
        <v>95</v>
      </c>
      <c r="F9" s="44"/>
      <c r="G9" s="5"/>
      <c r="H9" s="13"/>
      <c r="I9" s="12" t="s">
        <v>96</v>
      </c>
      <c r="J9" s="35" t="s">
        <v>97</v>
      </c>
      <c r="K9" s="24">
        <v>0.01</v>
      </c>
      <c r="L9" s="42">
        <v>45915.0</v>
      </c>
      <c r="M9" s="35" t="s">
        <v>98</v>
      </c>
      <c r="O9" s="39">
        <v>45961.0</v>
      </c>
    </row>
    <row r="10" ht="18.0" customHeight="1">
      <c r="A10" s="14" t="s">
        <v>6</v>
      </c>
      <c r="B10" s="13" t="s">
        <v>99</v>
      </c>
      <c r="C10" s="13" t="s">
        <v>100</v>
      </c>
      <c r="D10" s="13" t="s">
        <v>77</v>
      </c>
      <c r="E10" s="40" t="s">
        <v>95</v>
      </c>
      <c r="F10" s="37" t="s">
        <v>101</v>
      </c>
      <c r="G10" s="5"/>
      <c r="H10" s="13"/>
      <c r="I10" s="12" t="s">
        <v>102</v>
      </c>
      <c r="J10" s="13" t="s">
        <v>103</v>
      </c>
      <c r="K10" s="24">
        <v>0.25</v>
      </c>
      <c r="L10" s="42">
        <v>45891.0</v>
      </c>
      <c r="M10" s="35" t="s">
        <v>104</v>
      </c>
      <c r="O10" s="39">
        <v>45961.0</v>
      </c>
    </row>
    <row r="11">
      <c r="A11" s="14" t="s">
        <v>6</v>
      </c>
      <c r="B11" s="13" t="s">
        <v>105</v>
      </c>
      <c r="C11" s="13" t="s">
        <v>76</v>
      </c>
      <c r="D11" s="13" t="s">
        <v>77</v>
      </c>
      <c r="E11" s="40" t="s">
        <v>95</v>
      </c>
      <c r="F11" s="44"/>
      <c r="G11" s="5"/>
      <c r="H11" s="13" t="s">
        <v>81</v>
      </c>
      <c r="I11" s="19"/>
      <c r="J11" s="13" t="s">
        <v>106</v>
      </c>
      <c r="K11" s="24">
        <v>0.15</v>
      </c>
      <c r="L11" s="42">
        <v>45932.0</v>
      </c>
      <c r="M11" s="35" t="s">
        <v>107</v>
      </c>
      <c r="O11" s="39">
        <v>45961.0</v>
      </c>
    </row>
    <row r="12">
      <c r="A12" s="14" t="s">
        <v>6</v>
      </c>
      <c r="B12" s="13" t="s">
        <v>108</v>
      </c>
      <c r="C12" s="13" t="s">
        <v>109</v>
      </c>
      <c r="D12" s="13" t="s">
        <v>77</v>
      </c>
      <c r="E12" s="40" t="s">
        <v>110</v>
      </c>
      <c r="F12" s="37" t="s">
        <v>111</v>
      </c>
      <c r="G12" s="5"/>
      <c r="H12" s="13" t="s">
        <v>81</v>
      </c>
      <c r="I12" s="19"/>
      <c r="J12" s="13" t="s">
        <v>112</v>
      </c>
      <c r="K12" s="24">
        <v>0.01</v>
      </c>
      <c r="L12" s="42">
        <v>45873.0</v>
      </c>
      <c r="M12" s="13" t="s">
        <v>113</v>
      </c>
      <c r="N12" s="13" t="s">
        <v>114</v>
      </c>
      <c r="O12" s="39">
        <v>45961.0</v>
      </c>
    </row>
    <row r="13">
      <c r="A13" s="14" t="s">
        <v>6</v>
      </c>
      <c r="B13" s="13" t="s">
        <v>115</v>
      </c>
      <c r="C13" s="13" t="s">
        <v>76</v>
      </c>
      <c r="D13" s="13" t="s">
        <v>116</v>
      </c>
      <c r="E13" s="40" t="s">
        <v>117</v>
      </c>
      <c r="F13" s="44"/>
      <c r="G13" s="5"/>
      <c r="H13" s="13" t="s">
        <v>61</v>
      </c>
      <c r="I13" s="19"/>
      <c r="J13" s="13" t="s">
        <v>118</v>
      </c>
      <c r="K13" s="24">
        <v>0.05</v>
      </c>
      <c r="L13" s="42"/>
      <c r="M13" s="13" t="s">
        <v>119</v>
      </c>
      <c r="N13" s="13"/>
      <c r="O13" s="39">
        <v>45961.0</v>
      </c>
    </row>
    <row r="14">
      <c r="A14" s="14" t="s">
        <v>6</v>
      </c>
      <c r="B14" s="13" t="s">
        <v>120</v>
      </c>
      <c r="C14" s="13" t="s">
        <v>76</v>
      </c>
      <c r="D14" s="13" t="s">
        <v>116</v>
      </c>
      <c r="E14" s="40"/>
      <c r="F14" s="37" t="s">
        <v>121</v>
      </c>
      <c r="G14" s="5"/>
      <c r="H14" s="13" t="s">
        <v>61</v>
      </c>
      <c r="I14" s="19"/>
      <c r="J14" s="13" t="s">
        <v>122</v>
      </c>
      <c r="K14" s="24">
        <v>0.0</v>
      </c>
      <c r="L14" s="42">
        <v>45952.0</v>
      </c>
      <c r="M14" s="13"/>
      <c r="N14" s="13"/>
      <c r="O14" s="39">
        <v>45953.0</v>
      </c>
    </row>
    <row r="15" ht="18.75" customHeight="1">
      <c r="A15" s="14" t="s">
        <v>6</v>
      </c>
      <c r="B15" s="13" t="s">
        <v>123</v>
      </c>
      <c r="C15" s="13" t="s">
        <v>89</v>
      </c>
      <c r="D15" s="13" t="s">
        <v>77</v>
      </c>
      <c r="E15" s="40" t="s">
        <v>124</v>
      </c>
      <c r="F15" s="46" t="s">
        <v>125</v>
      </c>
      <c r="G15" s="43" t="s">
        <v>126</v>
      </c>
      <c r="H15" s="13" t="s">
        <v>81</v>
      </c>
      <c r="J15" s="13" t="s">
        <v>127</v>
      </c>
      <c r="K15" s="24">
        <v>0.0</v>
      </c>
      <c r="L15" s="42">
        <v>45860.0</v>
      </c>
      <c r="O15" s="39">
        <v>45932.0</v>
      </c>
    </row>
    <row r="16" ht="19.5" customHeight="1">
      <c r="A16" s="14" t="s">
        <v>6</v>
      </c>
      <c r="B16" s="13" t="s">
        <v>128</v>
      </c>
      <c r="C16" s="13" t="s">
        <v>89</v>
      </c>
      <c r="D16" s="13" t="s">
        <v>77</v>
      </c>
      <c r="E16" s="40" t="s">
        <v>129</v>
      </c>
      <c r="F16" s="47"/>
      <c r="G16" s="5"/>
      <c r="H16" s="13" t="s">
        <v>81</v>
      </c>
      <c r="J16" s="13" t="s">
        <v>130</v>
      </c>
      <c r="K16" s="24">
        <v>0.0</v>
      </c>
      <c r="L16" s="45">
        <v>45918.0</v>
      </c>
      <c r="M16" s="35" t="s">
        <v>131</v>
      </c>
      <c r="O16" s="39">
        <v>45947.0</v>
      </c>
    </row>
    <row r="17" ht="19.5" customHeight="1">
      <c r="A17" s="14" t="s">
        <v>6</v>
      </c>
      <c r="B17" s="13" t="s">
        <v>132</v>
      </c>
      <c r="C17" s="13" t="s">
        <v>89</v>
      </c>
      <c r="D17" s="13" t="s">
        <v>77</v>
      </c>
      <c r="E17" s="40" t="s">
        <v>129</v>
      </c>
      <c r="F17" s="47"/>
      <c r="G17" s="5"/>
      <c r="H17" s="13" t="s">
        <v>81</v>
      </c>
      <c r="J17" s="13" t="s">
        <v>133</v>
      </c>
      <c r="K17" s="24">
        <v>0.0</v>
      </c>
      <c r="L17" s="45">
        <v>45919.0</v>
      </c>
      <c r="O17" s="39">
        <v>45919.0</v>
      </c>
    </row>
    <row r="18" ht="19.5" customHeight="1">
      <c r="A18" s="14" t="s">
        <v>6</v>
      </c>
      <c r="B18" s="13" t="s">
        <v>134</v>
      </c>
      <c r="C18" s="13" t="s">
        <v>135</v>
      </c>
      <c r="D18" s="13" t="s">
        <v>77</v>
      </c>
      <c r="E18" s="40" t="s">
        <v>136</v>
      </c>
      <c r="F18" s="48" t="s">
        <v>137</v>
      </c>
      <c r="G18" s="5"/>
      <c r="H18" s="13" t="s">
        <v>138</v>
      </c>
      <c r="J18" s="13" t="s">
        <v>139</v>
      </c>
      <c r="K18" s="24">
        <v>0.0</v>
      </c>
      <c r="L18" s="45">
        <v>45839.0</v>
      </c>
      <c r="N18" s="13" t="s">
        <v>140</v>
      </c>
      <c r="O18" s="39">
        <v>45932.0</v>
      </c>
    </row>
    <row r="19" ht="18.75" customHeight="1">
      <c r="A19" s="14" t="s">
        <v>6</v>
      </c>
      <c r="B19" s="13" t="s">
        <v>141</v>
      </c>
      <c r="C19" s="13" t="s">
        <v>142</v>
      </c>
      <c r="D19" s="13" t="s">
        <v>77</v>
      </c>
      <c r="E19" s="40" t="s">
        <v>90</v>
      </c>
      <c r="F19" s="48" t="s">
        <v>143</v>
      </c>
      <c r="G19" s="5"/>
      <c r="H19" s="13" t="s">
        <v>61</v>
      </c>
      <c r="J19" s="13" t="s">
        <v>144</v>
      </c>
      <c r="K19" s="24">
        <v>0.0</v>
      </c>
      <c r="L19" s="42">
        <v>45873.0</v>
      </c>
      <c r="O19" s="39">
        <v>45905.0</v>
      </c>
    </row>
    <row r="20" ht="18.75" customHeight="1">
      <c r="A20" s="14" t="s">
        <v>6</v>
      </c>
      <c r="B20" s="13" t="s">
        <v>145</v>
      </c>
      <c r="C20" s="13" t="s">
        <v>146</v>
      </c>
      <c r="D20" s="13" t="s">
        <v>77</v>
      </c>
      <c r="E20" s="40" t="s">
        <v>147</v>
      </c>
      <c r="F20" s="48" t="s">
        <v>148</v>
      </c>
      <c r="G20" s="5"/>
      <c r="H20" s="13" t="s">
        <v>81</v>
      </c>
      <c r="J20" s="13" t="s">
        <v>149</v>
      </c>
      <c r="K20" s="24">
        <v>0.0</v>
      </c>
      <c r="L20" s="42">
        <v>45873.0</v>
      </c>
      <c r="M20" s="13" t="s">
        <v>150</v>
      </c>
      <c r="O20" s="36">
        <v>45939.0</v>
      </c>
    </row>
    <row r="21" ht="19.5" customHeight="1">
      <c r="A21" s="14" t="s">
        <v>6</v>
      </c>
      <c r="B21" s="13" t="s">
        <v>151</v>
      </c>
      <c r="C21" s="13" t="s">
        <v>135</v>
      </c>
      <c r="D21" s="13" t="s">
        <v>152</v>
      </c>
      <c r="E21" s="40" t="s">
        <v>153</v>
      </c>
      <c r="F21" s="48" t="s">
        <v>154</v>
      </c>
      <c r="G21" s="5"/>
      <c r="H21" s="13" t="s">
        <v>138</v>
      </c>
      <c r="J21" s="13" t="s">
        <v>149</v>
      </c>
      <c r="K21" s="24">
        <v>0.0</v>
      </c>
      <c r="L21" s="45">
        <v>45613.0</v>
      </c>
      <c r="O21" s="39">
        <v>45905.0</v>
      </c>
    </row>
    <row r="22" ht="27.75" customHeight="1">
      <c r="A22" s="14" t="s">
        <v>6</v>
      </c>
      <c r="B22" s="13" t="s">
        <v>155</v>
      </c>
      <c r="C22" s="13" t="s">
        <v>76</v>
      </c>
      <c r="D22" s="13" t="s">
        <v>77</v>
      </c>
      <c r="E22" s="18" t="s">
        <v>156</v>
      </c>
      <c r="F22" s="37" t="s">
        <v>157</v>
      </c>
      <c r="G22" s="5"/>
      <c r="H22" s="13" t="s">
        <v>61</v>
      </c>
      <c r="J22" s="20" t="s">
        <v>158</v>
      </c>
      <c r="K22" s="24">
        <v>0.01</v>
      </c>
      <c r="L22" s="39">
        <v>45621.0</v>
      </c>
      <c r="M22" s="20" t="s">
        <v>159</v>
      </c>
      <c r="O22" s="39">
        <v>45953.0</v>
      </c>
    </row>
    <row r="23" ht="12.0" customHeight="1">
      <c r="A23" s="14" t="s">
        <v>6</v>
      </c>
      <c r="B23" s="13" t="s">
        <v>160</v>
      </c>
      <c r="C23" s="13" t="s">
        <v>89</v>
      </c>
      <c r="D23" s="13"/>
      <c r="E23" s="40"/>
      <c r="F23" s="47"/>
      <c r="G23" s="5"/>
      <c r="H23" s="13" t="s">
        <v>81</v>
      </c>
      <c r="J23" s="35" t="s">
        <v>161</v>
      </c>
      <c r="K23" s="24">
        <v>0.0</v>
      </c>
      <c r="L23" s="45">
        <v>45920.0</v>
      </c>
      <c r="N23" s="13" t="s">
        <v>152</v>
      </c>
      <c r="O23" s="39">
        <v>45919.0</v>
      </c>
    </row>
    <row r="24">
      <c r="A24" s="14" t="s">
        <v>6</v>
      </c>
      <c r="B24" s="13" t="s">
        <v>162</v>
      </c>
      <c r="C24" s="13" t="s">
        <v>76</v>
      </c>
      <c r="D24" s="13" t="s">
        <v>77</v>
      </c>
      <c r="E24" s="5"/>
      <c r="G24" s="5"/>
      <c r="J24" s="13" t="s">
        <v>163</v>
      </c>
      <c r="K24" s="24">
        <v>0.0</v>
      </c>
      <c r="N24" s="13" t="s">
        <v>164</v>
      </c>
      <c r="O24" s="42">
        <v>45855.0</v>
      </c>
    </row>
    <row r="25" ht="15.0" customHeight="1">
      <c r="A25" s="14" t="s">
        <v>6</v>
      </c>
      <c r="B25" s="13" t="s">
        <v>165</v>
      </c>
      <c r="C25" s="13" t="s">
        <v>76</v>
      </c>
      <c r="D25" s="13" t="s">
        <v>77</v>
      </c>
      <c r="E25" s="14" t="s">
        <v>156</v>
      </c>
      <c r="F25" s="37" t="s">
        <v>166</v>
      </c>
      <c r="G25" s="49" t="s">
        <v>167</v>
      </c>
      <c r="H25" s="13" t="s">
        <v>168</v>
      </c>
      <c r="I25" s="13" t="s">
        <v>169</v>
      </c>
      <c r="J25" s="13" t="s">
        <v>170</v>
      </c>
      <c r="K25" s="24">
        <v>0.0</v>
      </c>
      <c r="L25" s="39">
        <v>45474.0</v>
      </c>
      <c r="M25" s="35" t="s">
        <v>171</v>
      </c>
      <c r="N25" s="13" t="s">
        <v>172</v>
      </c>
      <c r="O25" s="39">
        <v>45778.0</v>
      </c>
    </row>
    <row r="26">
      <c r="A26" s="14" t="s">
        <v>6</v>
      </c>
      <c r="B26" s="35" t="s">
        <v>173</v>
      </c>
      <c r="C26" s="13" t="s">
        <v>57</v>
      </c>
      <c r="D26" s="13" t="s">
        <v>72</v>
      </c>
      <c r="E26" s="18" t="s">
        <v>174</v>
      </c>
      <c r="G26" s="50" t="s">
        <v>175</v>
      </c>
      <c r="H26" s="13" t="s">
        <v>168</v>
      </c>
      <c r="J26" s="13" t="s">
        <v>176</v>
      </c>
      <c r="K26" s="24">
        <v>0.0</v>
      </c>
      <c r="L26" s="13" t="s">
        <v>177</v>
      </c>
      <c r="M26" s="13" t="s">
        <v>178</v>
      </c>
      <c r="N26" s="35" t="s">
        <v>179</v>
      </c>
      <c r="O26" s="39">
        <v>45911.0</v>
      </c>
    </row>
    <row r="27" ht="11.25" customHeight="1">
      <c r="A27" s="14" t="s">
        <v>6</v>
      </c>
      <c r="B27" s="13" t="s">
        <v>180</v>
      </c>
      <c r="C27" s="13"/>
      <c r="D27" s="13" t="s">
        <v>77</v>
      </c>
      <c r="E27" s="14" t="s">
        <v>181</v>
      </c>
      <c r="F27" s="44"/>
      <c r="G27" s="5"/>
      <c r="H27" s="13" t="s">
        <v>168</v>
      </c>
      <c r="I27" s="13" t="s">
        <v>182</v>
      </c>
      <c r="J27" s="35"/>
      <c r="K27" s="24">
        <v>0.0</v>
      </c>
      <c r="L27" s="51"/>
      <c r="M27" s="35" t="s">
        <v>183</v>
      </c>
      <c r="N27" s="35" t="s">
        <v>184</v>
      </c>
      <c r="O27" s="39">
        <v>45730.0</v>
      </c>
    </row>
    <row r="28" ht="10.5" customHeight="1">
      <c r="A28" s="14" t="s">
        <v>6</v>
      </c>
      <c r="B28" s="13" t="s">
        <v>185</v>
      </c>
      <c r="C28" s="13" t="s">
        <v>76</v>
      </c>
      <c r="D28" s="13" t="s">
        <v>77</v>
      </c>
      <c r="E28" s="14" t="s">
        <v>181</v>
      </c>
      <c r="F28" s="37" t="s">
        <v>186</v>
      </c>
      <c r="G28" s="5"/>
      <c r="H28" s="13" t="s">
        <v>168</v>
      </c>
      <c r="I28" s="13"/>
      <c r="J28" s="35" t="s">
        <v>187</v>
      </c>
      <c r="K28" s="24">
        <v>0.0</v>
      </c>
      <c r="L28" s="51">
        <v>45635.0</v>
      </c>
      <c r="M28" s="35" t="s">
        <v>188</v>
      </c>
      <c r="N28" s="35" t="s">
        <v>189</v>
      </c>
      <c r="O28" s="39">
        <v>45687.0</v>
      </c>
    </row>
    <row r="29" ht="9.0" customHeight="1">
      <c r="A29" s="14" t="s">
        <v>6</v>
      </c>
      <c r="B29" s="13" t="s">
        <v>190</v>
      </c>
      <c r="C29" s="13" t="s">
        <v>76</v>
      </c>
      <c r="D29" s="13" t="s">
        <v>77</v>
      </c>
      <c r="E29" s="14" t="s">
        <v>181</v>
      </c>
      <c r="F29" s="37" t="s">
        <v>191</v>
      </c>
      <c r="G29" s="5"/>
      <c r="H29" s="13" t="s">
        <v>192</v>
      </c>
      <c r="I29" s="13" t="s">
        <v>61</v>
      </c>
      <c r="J29" s="35" t="s">
        <v>193</v>
      </c>
      <c r="K29" s="24">
        <v>0.0</v>
      </c>
      <c r="L29" s="42">
        <v>45642.0</v>
      </c>
      <c r="M29" s="35" t="s">
        <v>194</v>
      </c>
      <c r="N29" s="35" t="s">
        <v>195</v>
      </c>
      <c r="O29" s="39">
        <v>45702.0</v>
      </c>
    </row>
    <row r="30" ht="15.0" customHeight="1">
      <c r="A30" s="14" t="s">
        <v>6</v>
      </c>
      <c r="B30" s="20" t="s">
        <v>196</v>
      </c>
      <c r="C30" s="13"/>
      <c r="D30" s="13"/>
      <c r="E30" s="14"/>
      <c r="G30" s="5"/>
      <c r="H30" s="13"/>
      <c r="I30" s="13"/>
      <c r="J30" s="35"/>
      <c r="K30" s="24">
        <v>0.15</v>
      </c>
      <c r="L30" s="35"/>
      <c r="M30" s="35" t="s">
        <v>197</v>
      </c>
      <c r="N30" s="35"/>
      <c r="O30" s="39">
        <v>45953.0</v>
      </c>
    </row>
    <row r="31">
      <c r="A31" s="52" t="s">
        <v>198</v>
      </c>
      <c r="B31" s="53"/>
      <c r="C31" s="53"/>
      <c r="D31" s="54"/>
      <c r="E31" s="55"/>
      <c r="F31" s="56"/>
      <c r="G31" s="55"/>
      <c r="H31" s="54"/>
      <c r="I31" s="54"/>
      <c r="J31" s="54"/>
      <c r="K31" s="57"/>
      <c r="L31" s="58"/>
      <c r="M31" s="54"/>
      <c r="N31" s="54"/>
      <c r="O31" s="58"/>
      <c r="P31" s="54"/>
      <c r="Q31" s="54"/>
      <c r="R31" s="54"/>
      <c r="S31" s="54"/>
      <c r="T31" s="54"/>
      <c r="U31" s="54"/>
      <c r="V31" s="54"/>
      <c r="W31" s="54"/>
      <c r="X31" s="54"/>
      <c r="Y31" s="54"/>
      <c r="Z31" s="54"/>
      <c r="AA31" s="54"/>
      <c r="AB31" s="54"/>
      <c r="AC31" s="54"/>
      <c r="AD31" s="54"/>
      <c r="AE31" s="54"/>
    </row>
    <row r="32">
      <c r="A32" s="59"/>
      <c r="B32" s="23"/>
      <c r="C32" s="23"/>
      <c r="D32" s="23"/>
      <c r="E32" s="59"/>
      <c r="F32" s="23"/>
      <c r="G32" s="59"/>
      <c r="H32" s="23"/>
      <c r="I32" s="23"/>
      <c r="J32" s="23"/>
      <c r="K32" s="60" t="s">
        <v>199</v>
      </c>
      <c r="L32" s="23"/>
      <c r="M32" s="23"/>
      <c r="N32" s="23"/>
      <c r="O32" s="61"/>
      <c r="P32" s="23"/>
      <c r="Q32" s="23"/>
      <c r="R32" s="23"/>
      <c r="S32" s="23"/>
      <c r="T32" s="23"/>
      <c r="U32" s="23"/>
      <c r="V32" s="23"/>
      <c r="W32" s="23"/>
      <c r="X32" s="23"/>
      <c r="Y32" s="23"/>
      <c r="Z32" s="23"/>
      <c r="AA32" s="23"/>
      <c r="AB32" s="23"/>
      <c r="AC32" s="23"/>
      <c r="AD32" s="23"/>
      <c r="AE32" s="23"/>
    </row>
    <row r="33">
      <c r="A33" s="5"/>
      <c r="E33" s="5"/>
      <c r="G33" s="5"/>
      <c r="K33" s="62">
        <f>SUM(K3:K30)</f>
        <v>0.89</v>
      </c>
      <c r="O33" s="63"/>
    </row>
    <row r="34">
      <c r="A34" s="14"/>
      <c r="B34" s="13"/>
      <c r="C34" s="13"/>
      <c r="D34" s="13"/>
      <c r="E34" s="14"/>
      <c r="F34" s="44"/>
      <c r="G34" s="5"/>
      <c r="H34" s="13"/>
      <c r="J34" s="35"/>
      <c r="K34" s="64"/>
      <c r="L34" s="39"/>
      <c r="O34" s="63"/>
    </row>
    <row r="35">
      <c r="A35" s="8" t="s">
        <v>62</v>
      </c>
      <c r="B35" s="65"/>
      <c r="C35" s="65"/>
      <c r="D35" s="65"/>
      <c r="E35" s="66"/>
      <c r="F35" s="67"/>
      <c r="G35" s="68"/>
      <c r="H35" s="65"/>
      <c r="I35" s="65"/>
      <c r="J35" s="69"/>
      <c r="K35" s="70"/>
      <c r="L35" s="71"/>
      <c r="M35" s="72"/>
      <c r="N35" s="72"/>
      <c r="O35" s="73"/>
      <c r="P35" s="72"/>
      <c r="Q35" s="72"/>
      <c r="R35" s="72"/>
      <c r="S35" s="72"/>
      <c r="T35" s="72"/>
      <c r="U35" s="72"/>
      <c r="V35" s="72"/>
      <c r="W35" s="72"/>
      <c r="X35" s="72"/>
      <c r="Y35" s="72"/>
      <c r="Z35" s="72"/>
      <c r="AA35" s="72"/>
      <c r="AB35" s="72"/>
      <c r="AC35" s="72"/>
      <c r="AD35" s="72"/>
      <c r="AE35" s="68"/>
    </row>
    <row r="36">
      <c r="A36" s="14" t="s">
        <v>9</v>
      </c>
      <c r="B36" s="13" t="s">
        <v>200</v>
      </c>
      <c r="C36" s="13" t="s">
        <v>201</v>
      </c>
      <c r="D36" s="13" t="s">
        <v>152</v>
      </c>
      <c r="E36" s="14" t="s">
        <v>202</v>
      </c>
      <c r="F36" s="37" t="s">
        <v>203</v>
      </c>
      <c r="G36" s="5"/>
      <c r="H36" s="13" t="s">
        <v>138</v>
      </c>
      <c r="I36" s="13" t="s">
        <v>204</v>
      </c>
      <c r="J36" s="35" t="s">
        <v>205</v>
      </c>
      <c r="K36" s="24">
        <v>0.0</v>
      </c>
      <c r="L36" s="39">
        <v>45572.0</v>
      </c>
      <c r="O36" s="63"/>
    </row>
    <row r="37">
      <c r="A37" s="14" t="s">
        <v>9</v>
      </c>
      <c r="B37" s="35" t="s">
        <v>206</v>
      </c>
      <c r="C37" s="13" t="s">
        <v>201</v>
      </c>
      <c r="D37" s="13" t="s">
        <v>207</v>
      </c>
      <c r="E37" s="14" t="s">
        <v>202</v>
      </c>
      <c r="F37" s="37" t="s">
        <v>208</v>
      </c>
      <c r="G37" s="5"/>
      <c r="H37" s="13" t="s">
        <v>138</v>
      </c>
      <c r="I37" s="35" t="s">
        <v>209</v>
      </c>
      <c r="J37" s="35" t="s">
        <v>210</v>
      </c>
      <c r="K37" s="24">
        <v>0.01</v>
      </c>
      <c r="L37" s="39">
        <v>45572.0</v>
      </c>
      <c r="O37" s="63"/>
    </row>
    <row r="38">
      <c r="A38" s="14" t="s">
        <v>9</v>
      </c>
      <c r="B38" s="35" t="s">
        <v>211</v>
      </c>
      <c r="C38" s="13" t="s">
        <v>212</v>
      </c>
      <c r="D38" s="13" t="s">
        <v>213</v>
      </c>
      <c r="E38" s="14" t="s">
        <v>202</v>
      </c>
      <c r="F38" s="37" t="s">
        <v>214</v>
      </c>
      <c r="G38" s="5"/>
      <c r="H38" s="13" t="s">
        <v>168</v>
      </c>
      <c r="I38" s="35" t="s">
        <v>211</v>
      </c>
      <c r="J38" s="35" t="s">
        <v>215</v>
      </c>
      <c r="K38" s="24">
        <v>0.0</v>
      </c>
      <c r="L38" s="39">
        <v>44852.0</v>
      </c>
      <c r="O38" s="63"/>
    </row>
    <row r="39">
      <c r="A39" s="14" t="s">
        <v>9</v>
      </c>
      <c r="B39" s="35" t="s">
        <v>216</v>
      </c>
      <c r="C39" s="13" t="s">
        <v>217</v>
      </c>
      <c r="D39" s="13" t="s">
        <v>207</v>
      </c>
      <c r="E39" s="14" t="s">
        <v>202</v>
      </c>
      <c r="F39" s="37" t="s">
        <v>218</v>
      </c>
      <c r="G39" s="5"/>
      <c r="H39" s="13" t="s">
        <v>138</v>
      </c>
      <c r="I39" s="13" t="s">
        <v>219</v>
      </c>
      <c r="J39" s="35" t="s">
        <v>220</v>
      </c>
      <c r="K39" s="24">
        <v>0.0</v>
      </c>
      <c r="L39" s="39">
        <v>45533.0</v>
      </c>
      <c r="O39" s="63"/>
    </row>
    <row r="40">
      <c r="A40" s="14" t="s">
        <v>9</v>
      </c>
      <c r="B40" s="13" t="s">
        <v>221</v>
      </c>
      <c r="C40" s="13" t="s">
        <v>57</v>
      </c>
      <c r="D40" s="13" t="s">
        <v>222</v>
      </c>
      <c r="E40" s="14" t="s">
        <v>59</v>
      </c>
      <c r="F40" s="74"/>
      <c r="G40" s="43" t="s">
        <v>223</v>
      </c>
      <c r="H40" s="13" t="s">
        <v>168</v>
      </c>
      <c r="I40" s="13" t="s">
        <v>224</v>
      </c>
      <c r="J40" s="13" t="s">
        <v>225</v>
      </c>
      <c r="K40" s="24">
        <v>0.05</v>
      </c>
      <c r="L40" s="39">
        <v>45593.0</v>
      </c>
      <c r="O40" s="63"/>
    </row>
    <row r="41">
      <c r="A41" s="14" t="s">
        <v>9</v>
      </c>
      <c r="B41" s="13" t="s">
        <v>226</v>
      </c>
      <c r="C41" s="13" t="s">
        <v>57</v>
      </c>
      <c r="D41" s="13" t="s">
        <v>152</v>
      </c>
      <c r="E41" s="14" t="s">
        <v>59</v>
      </c>
      <c r="F41" s="74"/>
      <c r="G41" s="43" t="s">
        <v>227</v>
      </c>
      <c r="H41" s="13" t="s">
        <v>168</v>
      </c>
      <c r="I41" s="35" t="s">
        <v>228</v>
      </c>
      <c r="J41" s="35" t="s">
        <v>229</v>
      </c>
      <c r="K41" s="24">
        <v>0.0</v>
      </c>
      <c r="L41" s="39">
        <v>45597.0</v>
      </c>
      <c r="O41" s="63"/>
    </row>
    <row r="42" ht="15.75" customHeight="1">
      <c r="A42" s="14" t="s">
        <v>9</v>
      </c>
      <c r="B42" s="13" t="s">
        <v>230</v>
      </c>
      <c r="C42" s="13" t="s">
        <v>231</v>
      </c>
      <c r="D42" s="13" t="s">
        <v>232</v>
      </c>
      <c r="E42" s="14" t="s">
        <v>233</v>
      </c>
      <c r="F42" s="37" t="s">
        <v>234</v>
      </c>
      <c r="G42" s="5"/>
      <c r="H42" s="13" t="s">
        <v>235</v>
      </c>
      <c r="I42" s="13" t="s">
        <v>61</v>
      </c>
      <c r="J42" s="20" t="s">
        <v>236</v>
      </c>
      <c r="K42" s="24">
        <v>0.0</v>
      </c>
      <c r="L42" s="39">
        <v>45603.0</v>
      </c>
      <c r="M42" s="20" t="s">
        <v>237</v>
      </c>
      <c r="O42" s="39"/>
    </row>
    <row r="43">
      <c r="A43" s="14" t="s">
        <v>9</v>
      </c>
      <c r="B43" s="13" t="s">
        <v>238</v>
      </c>
      <c r="C43" s="13" t="s">
        <v>239</v>
      </c>
      <c r="D43" s="13" t="s">
        <v>240</v>
      </c>
      <c r="E43" s="14" t="s">
        <v>233</v>
      </c>
      <c r="F43" s="44"/>
      <c r="G43" s="41"/>
      <c r="H43" s="13" t="s">
        <v>241</v>
      </c>
      <c r="I43" s="13" t="s">
        <v>61</v>
      </c>
      <c r="J43" s="13" t="s">
        <v>242</v>
      </c>
      <c r="K43" s="24">
        <v>0.01</v>
      </c>
      <c r="L43" s="39">
        <v>45597.0</v>
      </c>
      <c r="O43" s="39"/>
    </row>
    <row r="44">
      <c r="A44" s="14" t="s">
        <v>9</v>
      </c>
      <c r="B44" s="13" t="s">
        <v>243</v>
      </c>
      <c r="C44" s="13" t="s">
        <v>244</v>
      </c>
      <c r="D44" s="13" t="s">
        <v>213</v>
      </c>
      <c r="E44" s="14" t="s">
        <v>245</v>
      </c>
      <c r="F44" s="37" t="s">
        <v>246</v>
      </c>
      <c r="G44" s="43" t="s">
        <v>247</v>
      </c>
      <c r="H44" s="13" t="s">
        <v>138</v>
      </c>
      <c r="I44" s="13" t="s">
        <v>248</v>
      </c>
      <c r="J44" s="13" t="s">
        <v>249</v>
      </c>
      <c r="K44" s="24">
        <v>0.6</v>
      </c>
      <c r="L44" s="39">
        <v>45644.0</v>
      </c>
      <c r="O44" s="39">
        <v>45867.0</v>
      </c>
    </row>
    <row r="45">
      <c r="A45" s="14" t="s">
        <v>9</v>
      </c>
      <c r="B45" s="13" t="s">
        <v>250</v>
      </c>
      <c r="C45" s="13" t="s">
        <v>212</v>
      </c>
      <c r="D45" s="13" t="s">
        <v>207</v>
      </c>
      <c r="E45" s="14" t="s">
        <v>202</v>
      </c>
      <c r="F45" s="37" t="s">
        <v>251</v>
      </c>
      <c r="G45" s="5"/>
      <c r="H45" s="13" t="s">
        <v>168</v>
      </c>
      <c r="I45" s="13" t="s">
        <v>182</v>
      </c>
      <c r="J45" s="35" t="s">
        <v>252</v>
      </c>
      <c r="K45" s="24">
        <v>0.1</v>
      </c>
      <c r="L45" s="39">
        <v>45684.0</v>
      </c>
      <c r="O45" s="63"/>
    </row>
    <row r="46">
      <c r="A46" s="14" t="s">
        <v>9</v>
      </c>
      <c r="B46" s="13" t="s">
        <v>253</v>
      </c>
      <c r="C46" s="13" t="s">
        <v>109</v>
      </c>
      <c r="D46" s="13" t="s">
        <v>207</v>
      </c>
      <c r="E46" s="14" t="s">
        <v>202</v>
      </c>
      <c r="F46" s="37" t="s">
        <v>254</v>
      </c>
      <c r="G46" s="5"/>
      <c r="H46" s="13" t="s">
        <v>168</v>
      </c>
      <c r="I46" s="13" t="s">
        <v>182</v>
      </c>
      <c r="J46" s="13" t="s">
        <v>252</v>
      </c>
      <c r="K46" s="24">
        <v>0.0</v>
      </c>
      <c r="L46" s="39">
        <v>45684.0</v>
      </c>
      <c r="O46" s="63"/>
    </row>
    <row r="47">
      <c r="A47" s="14" t="s">
        <v>9</v>
      </c>
      <c r="B47" s="13" t="s">
        <v>255</v>
      </c>
      <c r="C47" s="13" t="s">
        <v>256</v>
      </c>
      <c r="D47" s="13" t="s">
        <v>207</v>
      </c>
      <c r="E47" s="14" t="s">
        <v>202</v>
      </c>
      <c r="G47" s="5"/>
      <c r="H47" s="13" t="s">
        <v>168</v>
      </c>
      <c r="I47" s="13" t="s">
        <v>204</v>
      </c>
      <c r="J47" s="13" t="s">
        <v>215</v>
      </c>
      <c r="K47" s="24">
        <v>0.0</v>
      </c>
      <c r="L47" s="39">
        <v>45706.0</v>
      </c>
      <c r="O47" s="63"/>
    </row>
    <row r="48">
      <c r="A48" s="14" t="s">
        <v>9</v>
      </c>
      <c r="B48" s="13" t="s">
        <v>257</v>
      </c>
      <c r="C48" s="13" t="s">
        <v>57</v>
      </c>
      <c r="D48" s="13" t="s">
        <v>72</v>
      </c>
      <c r="E48" s="14" t="s">
        <v>59</v>
      </c>
      <c r="G48" s="5"/>
      <c r="H48" s="13" t="s">
        <v>168</v>
      </c>
      <c r="I48" s="13" t="s">
        <v>182</v>
      </c>
      <c r="J48" s="35" t="s">
        <v>258</v>
      </c>
      <c r="K48" s="24">
        <v>0.0</v>
      </c>
      <c r="L48" s="39">
        <v>45718.0</v>
      </c>
      <c r="O48" s="63"/>
    </row>
    <row r="49">
      <c r="A49" s="14" t="s">
        <v>9</v>
      </c>
      <c r="B49" s="13" t="s">
        <v>259</v>
      </c>
      <c r="C49" s="13" t="s">
        <v>212</v>
      </c>
      <c r="D49" s="13" t="s">
        <v>260</v>
      </c>
      <c r="E49" s="14" t="s">
        <v>202</v>
      </c>
      <c r="G49" s="5"/>
      <c r="H49" s="13" t="s">
        <v>168</v>
      </c>
      <c r="I49" s="13" t="s">
        <v>261</v>
      </c>
      <c r="J49" s="35" t="s">
        <v>262</v>
      </c>
      <c r="K49" s="24">
        <v>0.0</v>
      </c>
      <c r="L49" s="39">
        <v>45747.0</v>
      </c>
      <c r="O49" s="63"/>
    </row>
    <row r="50">
      <c r="A50" s="14" t="s">
        <v>9</v>
      </c>
      <c r="B50" s="13" t="s">
        <v>263</v>
      </c>
      <c r="C50" s="13" t="s">
        <v>264</v>
      </c>
      <c r="D50" s="13" t="s">
        <v>207</v>
      </c>
      <c r="E50" s="14" t="s">
        <v>202</v>
      </c>
      <c r="G50" s="5"/>
      <c r="H50" s="13" t="s">
        <v>204</v>
      </c>
      <c r="I50" s="13" t="s">
        <v>204</v>
      </c>
      <c r="J50" s="35" t="s">
        <v>265</v>
      </c>
      <c r="K50" s="24">
        <v>0.0</v>
      </c>
      <c r="L50" s="39">
        <v>45740.0</v>
      </c>
      <c r="O50" s="63"/>
    </row>
    <row r="51">
      <c r="A51" s="14" t="s">
        <v>9</v>
      </c>
      <c r="B51" s="13" t="s">
        <v>266</v>
      </c>
      <c r="C51" s="13" t="s">
        <v>109</v>
      </c>
      <c r="D51" s="13" t="s">
        <v>260</v>
      </c>
      <c r="E51" s="14" t="s">
        <v>202</v>
      </c>
      <c r="G51" s="5"/>
      <c r="H51" s="13" t="s">
        <v>168</v>
      </c>
      <c r="I51" s="13" t="s">
        <v>182</v>
      </c>
      <c r="J51" s="35" t="s">
        <v>267</v>
      </c>
      <c r="K51" s="24">
        <v>0.0</v>
      </c>
      <c r="L51" s="39">
        <v>45748.0</v>
      </c>
      <c r="O51" s="63"/>
    </row>
    <row r="52">
      <c r="A52" s="14" t="s">
        <v>9</v>
      </c>
      <c r="B52" s="13" t="s">
        <v>268</v>
      </c>
      <c r="C52" s="13" t="s">
        <v>76</v>
      </c>
      <c r="D52" s="13" t="s">
        <v>72</v>
      </c>
      <c r="E52" s="14" t="s">
        <v>59</v>
      </c>
      <c r="G52" s="5"/>
      <c r="H52" s="13" t="s">
        <v>204</v>
      </c>
      <c r="I52" s="13" t="s">
        <v>204</v>
      </c>
      <c r="J52" s="35" t="s">
        <v>269</v>
      </c>
      <c r="K52" s="24">
        <v>0.0</v>
      </c>
      <c r="L52" s="39">
        <v>45748.0</v>
      </c>
      <c r="O52" s="63"/>
    </row>
    <row r="53">
      <c r="A53" s="14" t="s">
        <v>9</v>
      </c>
      <c r="B53" s="13" t="s">
        <v>270</v>
      </c>
      <c r="C53" s="13" t="s">
        <v>57</v>
      </c>
      <c r="D53" s="13" t="s">
        <v>72</v>
      </c>
      <c r="E53" s="14" t="s">
        <v>59</v>
      </c>
      <c r="G53" s="5"/>
      <c r="H53" s="13" t="s">
        <v>61</v>
      </c>
      <c r="I53" s="13" t="s">
        <v>204</v>
      </c>
      <c r="J53" s="35" t="s">
        <v>271</v>
      </c>
      <c r="K53" s="24">
        <v>0.1</v>
      </c>
      <c r="L53" s="39">
        <v>45801.0</v>
      </c>
      <c r="O53" s="63"/>
    </row>
    <row r="54">
      <c r="A54" s="14" t="s">
        <v>9</v>
      </c>
      <c r="B54" s="13" t="s">
        <v>272</v>
      </c>
      <c r="C54" s="13" t="s">
        <v>273</v>
      </c>
      <c r="D54" s="13"/>
      <c r="E54" s="14"/>
      <c r="G54" s="5"/>
      <c r="H54" s="13"/>
      <c r="I54" s="13"/>
      <c r="J54" s="35"/>
      <c r="K54" s="24">
        <v>0.01</v>
      </c>
      <c r="L54" s="39">
        <v>45801.0</v>
      </c>
      <c r="O54" s="63"/>
    </row>
    <row r="55">
      <c r="A55" s="14" t="s">
        <v>9</v>
      </c>
      <c r="B55" s="13" t="s">
        <v>274</v>
      </c>
      <c r="C55" s="13" t="s">
        <v>76</v>
      </c>
      <c r="D55" s="13" t="s">
        <v>260</v>
      </c>
      <c r="E55" s="14" t="s">
        <v>202</v>
      </c>
      <c r="G55" s="5"/>
      <c r="H55" s="13" t="s">
        <v>61</v>
      </c>
      <c r="I55" s="13"/>
      <c r="J55" s="35"/>
      <c r="K55" s="24">
        <v>0.05</v>
      </c>
      <c r="L55" s="39">
        <v>45867.0</v>
      </c>
      <c r="O55" s="63"/>
    </row>
    <row r="56">
      <c r="A56" s="5"/>
      <c r="E56" s="5"/>
      <c r="F56" s="74"/>
      <c r="G56" s="5"/>
      <c r="K56" s="64"/>
      <c r="L56" s="63"/>
      <c r="O56" s="63"/>
    </row>
    <row r="57">
      <c r="A57" s="52" t="s">
        <v>198</v>
      </c>
      <c r="B57" s="53"/>
      <c r="C57" s="53"/>
      <c r="D57" s="54"/>
      <c r="E57" s="55"/>
      <c r="F57" s="56"/>
      <c r="G57" s="55"/>
      <c r="H57" s="54"/>
      <c r="I57" s="54"/>
      <c r="J57" s="54"/>
      <c r="K57" s="57"/>
      <c r="L57" s="58"/>
      <c r="M57" s="54"/>
      <c r="N57" s="54"/>
      <c r="O57" s="58"/>
      <c r="P57" s="54"/>
      <c r="Q57" s="54"/>
      <c r="R57" s="54"/>
      <c r="S57" s="54"/>
      <c r="T57" s="54"/>
      <c r="U57" s="54"/>
      <c r="V57" s="54"/>
      <c r="W57" s="54"/>
      <c r="X57" s="54"/>
      <c r="Y57" s="54"/>
      <c r="Z57" s="54"/>
      <c r="AA57" s="54"/>
      <c r="AB57" s="54"/>
      <c r="AC57" s="54"/>
      <c r="AD57" s="54"/>
      <c r="AE57" s="54"/>
    </row>
    <row r="58">
      <c r="A58" s="59"/>
      <c r="B58" s="23"/>
      <c r="C58" s="23"/>
      <c r="D58" s="23"/>
      <c r="E58" s="59"/>
      <c r="F58" s="75"/>
      <c r="G58" s="59"/>
      <c r="H58" s="23"/>
      <c r="I58" s="23"/>
      <c r="J58" s="23"/>
      <c r="K58" s="60" t="s">
        <v>199</v>
      </c>
      <c r="L58" s="61"/>
      <c r="M58" s="23"/>
      <c r="N58" s="23"/>
      <c r="O58" s="61"/>
      <c r="P58" s="23"/>
      <c r="Q58" s="23"/>
      <c r="R58" s="23"/>
      <c r="S58" s="23"/>
      <c r="T58" s="23"/>
      <c r="U58" s="23"/>
      <c r="V58" s="23"/>
      <c r="W58" s="23"/>
      <c r="X58" s="23"/>
      <c r="Y58" s="23"/>
      <c r="Z58" s="23"/>
      <c r="AA58" s="23"/>
      <c r="AB58" s="23"/>
      <c r="AC58" s="23"/>
      <c r="AD58" s="23"/>
      <c r="AE58" s="23"/>
    </row>
    <row r="59">
      <c r="A59" s="5"/>
      <c r="E59" s="5"/>
      <c r="F59" s="74"/>
      <c r="G59" s="5"/>
      <c r="K59" s="62">
        <f>sum(K36:K55)</f>
        <v>0.93</v>
      </c>
      <c r="L59" s="63"/>
      <c r="O59" s="63"/>
    </row>
    <row r="60">
      <c r="A60" s="5"/>
      <c r="E60" s="5"/>
      <c r="F60" s="74"/>
      <c r="G60" s="5"/>
      <c r="K60" s="64"/>
      <c r="L60" s="63"/>
      <c r="O60" s="63"/>
    </row>
    <row r="61">
      <c r="A61" s="8" t="s">
        <v>275</v>
      </c>
      <c r="B61" s="72"/>
      <c r="C61" s="72"/>
      <c r="D61" s="72"/>
      <c r="E61" s="68"/>
      <c r="F61" s="72"/>
      <c r="G61" s="68"/>
      <c r="H61" s="72"/>
      <c r="I61" s="72"/>
      <c r="J61" s="72"/>
      <c r="K61" s="72"/>
      <c r="L61" s="72"/>
      <c r="M61" s="72"/>
      <c r="N61" s="72"/>
      <c r="O61" s="73"/>
      <c r="P61" s="72"/>
      <c r="Q61" s="72"/>
      <c r="R61" s="72"/>
      <c r="S61" s="72"/>
      <c r="T61" s="72"/>
      <c r="U61" s="72"/>
      <c r="V61" s="72"/>
      <c r="W61" s="72"/>
      <c r="X61" s="72"/>
      <c r="Y61" s="72"/>
      <c r="Z61" s="72"/>
      <c r="AA61" s="72"/>
      <c r="AB61" s="72"/>
      <c r="AC61" s="72"/>
      <c r="AD61" s="72"/>
      <c r="AE61" s="72"/>
    </row>
    <row r="62">
      <c r="A62" s="14" t="s">
        <v>11</v>
      </c>
      <c r="B62" s="13" t="s">
        <v>276</v>
      </c>
      <c r="C62" s="13" t="s">
        <v>204</v>
      </c>
      <c r="D62" s="13" t="s">
        <v>204</v>
      </c>
      <c r="E62" s="14" t="s">
        <v>204</v>
      </c>
      <c r="F62" s="35"/>
      <c r="G62" s="5"/>
      <c r="H62" s="13" t="s">
        <v>204</v>
      </c>
      <c r="J62" s="13"/>
      <c r="K62" s="24">
        <v>0.1</v>
      </c>
      <c r="L62" s="39"/>
      <c r="O62" s="39"/>
    </row>
    <row r="63">
      <c r="A63" s="14" t="s">
        <v>11</v>
      </c>
      <c r="B63" s="13" t="s">
        <v>277</v>
      </c>
      <c r="C63" s="13" t="s">
        <v>146</v>
      </c>
      <c r="D63" s="13" t="s">
        <v>260</v>
      </c>
      <c r="E63" s="14" t="s">
        <v>278</v>
      </c>
      <c r="F63" s="76" t="s">
        <v>279</v>
      </c>
      <c r="G63" s="5"/>
      <c r="H63" s="13" t="s">
        <v>280</v>
      </c>
      <c r="J63" s="13" t="s">
        <v>281</v>
      </c>
      <c r="K63" s="24">
        <v>0.01</v>
      </c>
      <c r="L63" s="39">
        <v>45757.0</v>
      </c>
      <c r="O63" s="39">
        <v>45589.0</v>
      </c>
    </row>
    <row r="64">
      <c r="A64" s="14" t="s">
        <v>11</v>
      </c>
      <c r="B64" s="13" t="s">
        <v>282</v>
      </c>
      <c r="C64" s="13" t="s">
        <v>283</v>
      </c>
      <c r="D64" s="13" t="s">
        <v>260</v>
      </c>
      <c r="E64" s="14" t="s">
        <v>278</v>
      </c>
      <c r="F64" s="76" t="s">
        <v>284</v>
      </c>
      <c r="G64" s="5"/>
      <c r="H64" s="13" t="s">
        <v>280</v>
      </c>
      <c r="J64" s="13" t="s">
        <v>281</v>
      </c>
      <c r="K64" s="24">
        <v>0.01</v>
      </c>
      <c r="L64" s="39">
        <v>45757.0</v>
      </c>
      <c r="O64" s="39">
        <v>45589.0</v>
      </c>
    </row>
    <row r="65">
      <c r="A65" s="14" t="s">
        <v>11</v>
      </c>
      <c r="B65" s="13" t="s">
        <v>285</v>
      </c>
      <c r="C65" s="13" t="s">
        <v>146</v>
      </c>
      <c r="D65" s="13" t="s">
        <v>260</v>
      </c>
      <c r="E65" s="14" t="s">
        <v>278</v>
      </c>
      <c r="F65" s="76" t="s">
        <v>286</v>
      </c>
      <c r="G65" s="5"/>
      <c r="H65" s="13" t="s">
        <v>280</v>
      </c>
      <c r="J65" s="13" t="s">
        <v>287</v>
      </c>
      <c r="K65" s="24">
        <v>0.05</v>
      </c>
      <c r="L65" s="39">
        <v>45757.0</v>
      </c>
      <c r="O65" s="39">
        <v>45589.0</v>
      </c>
    </row>
    <row r="66">
      <c r="A66" s="14" t="s">
        <v>11</v>
      </c>
      <c r="B66" s="13" t="s">
        <v>288</v>
      </c>
      <c r="C66" s="13" t="s">
        <v>89</v>
      </c>
      <c r="D66" s="13" t="s">
        <v>260</v>
      </c>
      <c r="E66" s="14" t="s">
        <v>278</v>
      </c>
      <c r="F66" s="76" t="s">
        <v>289</v>
      </c>
      <c r="G66" s="5"/>
      <c r="H66" s="13" t="s">
        <v>290</v>
      </c>
      <c r="J66" s="35"/>
      <c r="K66" s="24">
        <v>0.01</v>
      </c>
      <c r="L66" s="39">
        <v>45757.0</v>
      </c>
      <c r="O66" s="39">
        <v>45589.0</v>
      </c>
    </row>
    <row r="67">
      <c r="A67" s="14" t="s">
        <v>11</v>
      </c>
      <c r="B67" s="13" t="s">
        <v>291</v>
      </c>
      <c r="C67" s="13" t="s">
        <v>146</v>
      </c>
      <c r="D67" s="13" t="s">
        <v>72</v>
      </c>
      <c r="E67" s="14" t="s">
        <v>129</v>
      </c>
      <c r="F67" s="76" t="s">
        <v>292</v>
      </c>
      <c r="G67" s="5"/>
      <c r="H67" s="13" t="s">
        <v>293</v>
      </c>
      <c r="J67" s="35" t="s">
        <v>294</v>
      </c>
      <c r="K67" s="24">
        <v>0.05</v>
      </c>
      <c r="L67" s="39">
        <v>45757.0</v>
      </c>
      <c r="O67" s="39">
        <v>45589.0</v>
      </c>
    </row>
    <row r="68">
      <c r="A68" s="14" t="s">
        <v>11</v>
      </c>
      <c r="B68" s="13" t="s">
        <v>295</v>
      </c>
      <c r="C68" s="13" t="s">
        <v>146</v>
      </c>
      <c r="D68" s="13" t="s">
        <v>72</v>
      </c>
      <c r="E68" s="14" t="s">
        <v>129</v>
      </c>
      <c r="F68" s="76" t="s">
        <v>296</v>
      </c>
      <c r="G68" s="5"/>
      <c r="H68" s="13" t="s">
        <v>293</v>
      </c>
      <c r="J68" s="13" t="s">
        <v>297</v>
      </c>
      <c r="K68" s="24">
        <v>0.25</v>
      </c>
      <c r="L68" s="39">
        <v>45757.0</v>
      </c>
      <c r="M68" s="13" t="s">
        <v>298</v>
      </c>
      <c r="O68" s="39">
        <v>45589.0</v>
      </c>
    </row>
    <row r="69">
      <c r="A69" s="14" t="s">
        <v>11</v>
      </c>
      <c r="B69" s="13" t="s">
        <v>299</v>
      </c>
      <c r="C69" s="13" t="s">
        <v>89</v>
      </c>
      <c r="D69" s="13" t="s">
        <v>260</v>
      </c>
      <c r="E69" s="18" t="s">
        <v>300</v>
      </c>
      <c r="F69" s="74"/>
      <c r="G69" s="5"/>
      <c r="H69" s="13" t="s">
        <v>293</v>
      </c>
      <c r="K69" s="24">
        <v>0.01</v>
      </c>
      <c r="L69" s="39">
        <v>45757.0</v>
      </c>
      <c r="O69" s="39">
        <v>45589.0</v>
      </c>
    </row>
    <row r="70">
      <c r="A70" s="14" t="s">
        <v>11</v>
      </c>
      <c r="B70" s="13" t="s">
        <v>301</v>
      </c>
      <c r="C70" s="13" t="s">
        <v>204</v>
      </c>
      <c r="D70" s="13" t="s">
        <v>204</v>
      </c>
      <c r="E70" s="5"/>
      <c r="F70" s="76" t="s">
        <v>302</v>
      </c>
      <c r="G70" s="5"/>
      <c r="H70" s="13" t="s">
        <v>280</v>
      </c>
      <c r="J70" s="13" t="s">
        <v>303</v>
      </c>
      <c r="K70" s="24">
        <v>0.02</v>
      </c>
      <c r="L70" s="39">
        <v>45757.0</v>
      </c>
      <c r="O70" s="39">
        <v>45589.0</v>
      </c>
    </row>
    <row r="71">
      <c r="A71" s="14" t="s">
        <v>11</v>
      </c>
      <c r="B71" s="13" t="s">
        <v>304</v>
      </c>
      <c r="C71" s="13" t="s">
        <v>89</v>
      </c>
      <c r="D71" s="13" t="s">
        <v>260</v>
      </c>
      <c r="E71" s="5"/>
      <c r="F71" s="74"/>
      <c r="G71" s="5"/>
      <c r="K71" s="64"/>
      <c r="L71" s="63"/>
      <c r="O71" s="63"/>
    </row>
    <row r="72">
      <c r="A72" s="14" t="s">
        <v>11</v>
      </c>
      <c r="B72" s="13" t="s">
        <v>305</v>
      </c>
      <c r="C72" s="13" t="s">
        <v>89</v>
      </c>
      <c r="D72" s="13" t="s">
        <v>260</v>
      </c>
      <c r="E72" s="5"/>
      <c r="F72" s="74"/>
      <c r="G72" s="5"/>
      <c r="K72" s="64"/>
      <c r="L72" s="63"/>
      <c r="O72" s="63"/>
    </row>
    <row r="73">
      <c r="A73" s="14" t="s">
        <v>11</v>
      </c>
      <c r="B73" s="13" t="s">
        <v>306</v>
      </c>
      <c r="C73" s="13" t="s">
        <v>89</v>
      </c>
      <c r="D73" s="13" t="s">
        <v>260</v>
      </c>
      <c r="E73" s="14" t="s">
        <v>307</v>
      </c>
      <c r="F73" s="76" t="s">
        <v>308</v>
      </c>
      <c r="G73" s="5"/>
      <c r="K73" s="64"/>
      <c r="L73" s="63"/>
      <c r="O73" s="63"/>
    </row>
    <row r="74">
      <c r="A74" s="5"/>
      <c r="E74" s="5"/>
      <c r="F74" s="74"/>
      <c r="G74" s="5"/>
      <c r="K74" s="64"/>
      <c r="L74" s="63"/>
      <c r="O74" s="63"/>
    </row>
    <row r="75">
      <c r="A75" s="52" t="s">
        <v>198</v>
      </c>
      <c r="B75" s="53"/>
      <c r="C75" s="53"/>
      <c r="D75" s="54"/>
      <c r="E75" s="55"/>
      <c r="F75" s="56"/>
      <c r="G75" s="55"/>
      <c r="H75" s="54"/>
      <c r="I75" s="54"/>
      <c r="J75" s="54"/>
      <c r="K75" s="57"/>
      <c r="L75" s="58"/>
      <c r="M75" s="54"/>
      <c r="N75" s="54"/>
      <c r="O75" s="58"/>
      <c r="P75" s="54"/>
      <c r="Q75" s="54"/>
      <c r="R75" s="54"/>
      <c r="S75" s="54"/>
      <c r="T75" s="54"/>
      <c r="U75" s="54"/>
      <c r="V75" s="54"/>
      <c r="W75" s="54"/>
      <c r="X75" s="54"/>
      <c r="Y75" s="54"/>
      <c r="Z75" s="54"/>
      <c r="AA75" s="54"/>
      <c r="AB75" s="54"/>
      <c r="AC75" s="54"/>
      <c r="AD75" s="54"/>
      <c r="AE75" s="54"/>
    </row>
    <row r="76">
      <c r="A76" s="59"/>
      <c r="B76" s="23"/>
      <c r="C76" s="23"/>
      <c r="D76" s="23"/>
      <c r="E76" s="59"/>
      <c r="F76" s="75"/>
      <c r="G76" s="59"/>
      <c r="H76" s="23"/>
      <c r="I76" s="23"/>
      <c r="J76" s="23"/>
      <c r="K76" s="60" t="s">
        <v>309</v>
      </c>
      <c r="L76" s="23"/>
      <c r="M76" s="23"/>
      <c r="N76" s="23"/>
      <c r="O76" s="61"/>
      <c r="P76" s="23"/>
      <c r="Q76" s="23"/>
      <c r="R76" s="23"/>
      <c r="S76" s="23"/>
      <c r="T76" s="23"/>
      <c r="U76" s="23"/>
      <c r="V76" s="23"/>
      <c r="W76" s="23"/>
      <c r="X76" s="23"/>
      <c r="Y76" s="23"/>
      <c r="Z76" s="23"/>
      <c r="AA76" s="23"/>
      <c r="AB76" s="23"/>
      <c r="AC76" s="23"/>
      <c r="AD76" s="23"/>
      <c r="AE76" s="23"/>
    </row>
    <row r="77">
      <c r="A77" s="5"/>
      <c r="E77" s="5"/>
      <c r="F77" s="74"/>
      <c r="G77" s="5"/>
      <c r="K77" s="62">
        <f>SUM(K62:K73)</f>
        <v>0.51</v>
      </c>
      <c r="L77" s="63"/>
      <c r="O77" s="63"/>
    </row>
    <row r="78">
      <c r="A78" s="5"/>
      <c r="E78" s="5"/>
      <c r="F78" s="74"/>
      <c r="G78" s="5"/>
      <c r="K78" s="64"/>
      <c r="L78" s="63"/>
      <c r="O78" s="63"/>
    </row>
    <row r="79">
      <c r="A79" s="8" t="s">
        <v>310</v>
      </c>
      <c r="B79" s="72"/>
      <c r="C79" s="72"/>
      <c r="D79" s="72"/>
      <c r="E79" s="68"/>
      <c r="F79" s="72"/>
      <c r="G79" s="68"/>
      <c r="H79" s="72"/>
      <c r="I79" s="72"/>
      <c r="J79" s="72"/>
      <c r="K79" s="72"/>
      <c r="L79" s="72"/>
      <c r="M79" s="72"/>
      <c r="N79" s="72"/>
      <c r="O79" s="73"/>
      <c r="P79" s="72"/>
      <c r="Q79" s="72"/>
      <c r="R79" s="72"/>
      <c r="S79" s="72"/>
      <c r="T79" s="72"/>
      <c r="U79" s="72"/>
      <c r="V79" s="72"/>
      <c r="W79" s="72"/>
      <c r="X79" s="72"/>
      <c r="Y79" s="72"/>
      <c r="Z79" s="72"/>
      <c r="AA79" s="72"/>
      <c r="AB79" s="72"/>
      <c r="AC79" s="72"/>
      <c r="AD79" s="72"/>
      <c r="AE79" s="72"/>
    </row>
    <row r="80">
      <c r="A80" s="14" t="s">
        <v>12</v>
      </c>
      <c r="B80" s="13" t="s">
        <v>311</v>
      </c>
      <c r="C80" s="13" t="s">
        <v>76</v>
      </c>
      <c r="D80" s="13" t="s">
        <v>312</v>
      </c>
      <c r="E80" s="40" t="s">
        <v>313</v>
      </c>
      <c r="F80" s="74"/>
      <c r="G80" s="77" t="s">
        <v>314</v>
      </c>
      <c r="J80" s="13" t="s">
        <v>315</v>
      </c>
      <c r="K80" s="24">
        <v>0.0</v>
      </c>
      <c r="L80" s="39">
        <v>45672.0</v>
      </c>
      <c r="M80" s="20" t="s">
        <v>316</v>
      </c>
      <c r="O80" s="63"/>
    </row>
    <row r="81">
      <c r="A81" s="14" t="s">
        <v>12</v>
      </c>
      <c r="B81" s="13" t="s">
        <v>277</v>
      </c>
      <c r="C81" s="13" t="s">
        <v>142</v>
      </c>
      <c r="D81" s="13" t="s">
        <v>312</v>
      </c>
      <c r="E81" s="14" t="s">
        <v>317</v>
      </c>
      <c r="F81" s="76" t="s">
        <v>279</v>
      </c>
      <c r="G81" s="5"/>
      <c r="H81" s="13" t="s">
        <v>241</v>
      </c>
      <c r="J81" s="20" t="s">
        <v>318</v>
      </c>
      <c r="K81" s="13">
        <v>0.0</v>
      </c>
      <c r="L81" s="63"/>
      <c r="O81" s="63"/>
    </row>
    <row r="82">
      <c r="A82" s="14" t="s">
        <v>12</v>
      </c>
      <c r="B82" s="13" t="s">
        <v>319</v>
      </c>
      <c r="C82" s="13" t="s">
        <v>76</v>
      </c>
      <c r="D82" s="13" t="s">
        <v>312</v>
      </c>
      <c r="E82" s="14" t="s">
        <v>317</v>
      </c>
      <c r="F82" s="76" t="s">
        <v>320</v>
      </c>
      <c r="G82" s="5"/>
      <c r="H82" s="13" t="s">
        <v>241</v>
      </c>
      <c r="J82" s="13" t="s">
        <v>321</v>
      </c>
      <c r="K82" s="13">
        <v>0.0</v>
      </c>
      <c r="L82" s="39">
        <v>45672.0</v>
      </c>
      <c r="M82" s="20" t="s">
        <v>322</v>
      </c>
      <c r="O82" s="63"/>
    </row>
    <row r="83">
      <c r="A83" s="14" t="s">
        <v>12</v>
      </c>
      <c r="B83" s="13" t="s">
        <v>323</v>
      </c>
      <c r="C83" s="13" t="s">
        <v>142</v>
      </c>
      <c r="D83" s="13" t="s">
        <v>312</v>
      </c>
      <c r="E83" s="14" t="s">
        <v>317</v>
      </c>
      <c r="F83" s="76" t="s">
        <v>324</v>
      </c>
      <c r="G83" s="5"/>
      <c r="H83" s="13" t="s">
        <v>241</v>
      </c>
      <c r="J83" s="13" t="s">
        <v>325</v>
      </c>
      <c r="K83" s="24">
        <v>0.0</v>
      </c>
      <c r="L83" s="39">
        <v>45615.0</v>
      </c>
      <c r="O83" s="63"/>
    </row>
    <row r="84">
      <c r="A84" s="14" t="s">
        <v>12</v>
      </c>
      <c r="B84" s="13" t="s">
        <v>326</v>
      </c>
      <c r="C84" s="13" t="s">
        <v>76</v>
      </c>
      <c r="D84" s="13" t="s">
        <v>312</v>
      </c>
      <c r="E84" s="14" t="s">
        <v>317</v>
      </c>
      <c r="F84" s="76" t="s">
        <v>327</v>
      </c>
      <c r="G84" s="5"/>
      <c r="J84" s="13" t="s">
        <v>328</v>
      </c>
      <c r="K84" s="24">
        <v>0.0</v>
      </c>
      <c r="L84" s="39">
        <v>45672.0</v>
      </c>
      <c r="M84" s="20" t="s">
        <v>329</v>
      </c>
      <c r="O84" s="63"/>
    </row>
    <row r="85">
      <c r="A85" s="14" t="s">
        <v>12</v>
      </c>
      <c r="B85" s="13" t="s">
        <v>330</v>
      </c>
      <c r="C85" s="13" t="s">
        <v>76</v>
      </c>
      <c r="D85" s="13" t="s">
        <v>312</v>
      </c>
      <c r="E85" s="14" t="s">
        <v>317</v>
      </c>
      <c r="F85" s="74"/>
      <c r="G85" s="5"/>
      <c r="H85" s="13" t="s">
        <v>138</v>
      </c>
      <c r="J85" s="13" t="s">
        <v>331</v>
      </c>
      <c r="K85" s="24">
        <v>0.6</v>
      </c>
      <c r="L85" s="63"/>
      <c r="O85" s="63"/>
    </row>
    <row r="86">
      <c r="A86" s="78"/>
      <c r="E86" s="5"/>
      <c r="G86" s="5"/>
      <c r="K86" s="64"/>
      <c r="L86" s="63"/>
      <c r="O86" s="63"/>
    </row>
    <row r="87">
      <c r="A87" s="52" t="s">
        <v>198</v>
      </c>
      <c r="B87" s="53"/>
      <c r="C87" s="53"/>
      <c r="D87" s="54"/>
      <c r="E87" s="55"/>
      <c r="F87" s="56"/>
      <c r="G87" s="55"/>
      <c r="H87" s="54"/>
      <c r="I87" s="54"/>
      <c r="J87" s="54"/>
      <c r="K87" s="57"/>
      <c r="L87" s="58"/>
      <c r="M87" s="54"/>
      <c r="N87" s="54"/>
      <c r="O87" s="58"/>
      <c r="P87" s="54"/>
      <c r="Q87" s="54"/>
      <c r="R87" s="54"/>
      <c r="S87" s="54"/>
      <c r="T87" s="54"/>
      <c r="U87" s="54"/>
      <c r="V87" s="54"/>
      <c r="W87" s="54"/>
      <c r="X87" s="54"/>
      <c r="Y87" s="54"/>
      <c r="Z87" s="54"/>
      <c r="AA87" s="54"/>
      <c r="AB87" s="54"/>
      <c r="AC87" s="54"/>
      <c r="AD87" s="54"/>
      <c r="AE87" s="54"/>
    </row>
    <row r="88">
      <c r="A88" s="59"/>
      <c r="B88" s="23"/>
      <c r="C88" s="23"/>
      <c r="D88" s="23"/>
      <c r="E88" s="59"/>
      <c r="F88" s="75"/>
      <c r="G88" s="59"/>
      <c r="H88" s="23"/>
      <c r="I88" s="23"/>
      <c r="J88" s="23"/>
      <c r="K88" s="60" t="s">
        <v>199</v>
      </c>
      <c r="L88" s="61"/>
      <c r="M88" s="23"/>
      <c r="N88" s="23"/>
      <c r="O88" s="61"/>
      <c r="P88" s="23"/>
      <c r="Q88" s="23"/>
      <c r="R88" s="23"/>
      <c r="S88" s="23"/>
      <c r="T88" s="23"/>
      <c r="U88" s="23"/>
      <c r="V88" s="23"/>
      <c r="W88" s="23"/>
      <c r="X88" s="23"/>
      <c r="Y88" s="23"/>
      <c r="Z88" s="23"/>
      <c r="AA88" s="23"/>
      <c r="AB88" s="23"/>
      <c r="AC88" s="23"/>
      <c r="AD88" s="23"/>
      <c r="AE88" s="23"/>
    </row>
    <row r="89">
      <c r="A89" s="5"/>
      <c r="E89" s="5"/>
      <c r="F89" s="74"/>
      <c r="G89" s="5"/>
      <c r="K89" s="62">
        <f>SUM(K80:K85)</f>
        <v>0.6</v>
      </c>
      <c r="L89" s="63"/>
      <c r="O89" s="63"/>
    </row>
    <row r="90">
      <c r="A90" s="5"/>
      <c r="E90" s="5"/>
      <c r="F90" s="74"/>
      <c r="G90" s="5"/>
      <c r="K90" s="64"/>
      <c r="L90" s="63"/>
      <c r="O90" s="63"/>
    </row>
    <row r="91">
      <c r="A91" s="8" t="s">
        <v>332</v>
      </c>
      <c r="B91" s="72"/>
      <c r="C91" s="72"/>
      <c r="D91" s="72"/>
      <c r="E91" s="68"/>
      <c r="F91" s="72"/>
      <c r="G91" s="68"/>
      <c r="H91" s="72"/>
      <c r="I91" s="72"/>
      <c r="J91" s="72"/>
      <c r="K91" s="72"/>
      <c r="L91" s="73"/>
      <c r="M91" s="72"/>
      <c r="N91" s="72"/>
      <c r="O91" s="73"/>
      <c r="P91" s="72"/>
      <c r="Q91" s="72"/>
      <c r="R91" s="72"/>
      <c r="S91" s="72"/>
      <c r="T91" s="72"/>
      <c r="U91" s="72"/>
      <c r="V91" s="72"/>
      <c r="W91" s="72"/>
      <c r="X91" s="72"/>
      <c r="Y91" s="72"/>
      <c r="Z91" s="72"/>
      <c r="AA91" s="72"/>
      <c r="AB91" s="72"/>
      <c r="AC91" s="72"/>
      <c r="AD91" s="72"/>
      <c r="AE91" s="72"/>
    </row>
    <row r="92">
      <c r="A92" s="14" t="s">
        <v>13</v>
      </c>
      <c r="B92" s="13" t="s">
        <v>333</v>
      </c>
      <c r="C92" s="13" t="s">
        <v>146</v>
      </c>
      <c r="D92" s="13" t="s">
        <v>72</v>
      </c>
      <c r="E92" s="14" t="s">
        <v>129</v>
      </c>
      <c r="F92" s="76" t="s">
        <v>334</v>
      </c>
      <c r="G92" s="5"/>
      <c r="H92" s="13" t="s">
        <v>335</v>
      </c>
      <c r="J92" s="35" t="s">
        <v>336</v>
      </c>
      <c r="K92" s="24">
        <v>0.0</v>
      </c>
      <c r="L92" s="63"/>
      <c r="M92" s="20" t="s">
        <v>337</v>
      </c>
      <c r="N92" s="20"/>
      <c r="O92" s="39">
        <v>45728.0</v>
      </c>
    </row>
    <row r="93">
      <c r="A93" s="14" t="s">
        <v>13</v>
      </c>
      <c r="B93" s="13" t="s">
        <v>338</v>
      </c>
      <c r="C93" s="13" t="s">
        <v>76</v>
      </c>
      <c r="D93" s="13" t="s">
        <v>72</v>
      </c>
      <c r="E93" s="14" t="s">
        <v>129</v>
      </c>
      <c r="F93" s="76" t="s">
        <v>339</v>
      </c>
      <c r="G93" s="5"/>
      <c r="H93" s="13" t="s">
        <v>335</v>
      </c>
      <c r="I93" s="35"/>
      <c r="J93" s="35" t="s">
        <v>336</v>
      </c>
      <c r="K93" s="24">
        <v>0.0</v>
      </c>
      <c r="L93" s="63"/>
      <c r="M93" s="20" t="s">
        <v>340</v>
      </c>
      <c r="N93" s="20"/>
      <c r="O93" s="39">
        <v>45645.0</v>
      </c>
    </row>
    <row r="94">
      <c r="A94" s="14" t="s">
        <v>13</v>
      </c>
      <c r="B94" s="13" t="s">
        <v>341</v>
      </c>
      <c r="C94" s="13" t="s">
        <v>142</v>
      </c>
      <c r="D94" s="13" t="s">
        <v>260</v>
      </c>
      <c r="E94" s="14" t="s">
        <v>317</v>
      </c>
      <c r="F94" s="76" t="s">
        <v>342</v>
      </c>
      <c r="G94" s="5"/>
      <c r="H94" s="13" t="s">
        <v>280</v>
      </c>
      <c r="I94" s="35"/>
      <c r="J94" s="35" t="s">
        <v>281</v>
      </c>
      <c r="K94" s="24">
        <v>0.0</v>
      </c>
      <c r="L94" s="63"/>
      <c r="M94" s="79"/>
      <c r="N94" s="20" t="s">
        <v>343</v>
      </c>
      <c r="O94" s="39">
        <v>46368.0</v>
      </c>
    </row>
    <row r="95">
      <c r="A95" s="14" t="s">
        <v>13</v>
      </c>
      <c r="B95" s="13" t="s">
        <v>344</v>
      </c>
      <c r="C95" s="13" t="s">
        <v>142</v>
      </c>
      <c r="D95" s="13" t="s">
        <v>260</v>
      </c>
      <c r="E95" s="14" t="s">
        <v>317</v>
      </c>
      <c r="F95" s="76" t="s">
        <v>279</v>
      </c>
      <c r="G95" s="5"/>
      <c r="H95" s="13" t="s">
        <v>280</v>
      </c>
      <c r="I95" s="35"/>
      <c r="J95" s="35" t="s">
        <v>281</v>
      </c>
      <c r="K95" s="24">
        <v>0.2</v>
      </c>
      <c r="L95" s="63"/>
      <c r="M95" s="20" t="s">
        <v>345</v>
      </c>
      <c r="N95" s="20"/>
      <c r="O95" s="39">
        <v>45792.0</v>
      </c>
    </row>
    <row r="96">
      <c r="A96" s="14" t="s">
        <v>13</v>
      </c>
      <c r="B96" s="13" t="s">
        <v>346</v>
      </c>
      <c r="C96" s="13" t="s">
        <v>76</v>
      </c>
      <c r="D96" s="13" t="s">
        <v>260</v>
      </c>
      <c r="E96" s="14" t="s">
        <v>347</v>
      </c>
      <c r="F96" s="76" t="s">
        <v>348</v>
      </c>
      <c r="G96" s="5"/>
      <c r="H96" s="13" t="s">
        <v>138</v>
      </c>
      <c r="J96" s="35" t="s">
        <v>349</v>
      </c>
      <c r="K96" s="24">
        <v>0.0</v>
      </c>
      <c r="L96" s="63"/>
      <c r="M96" s="20" t="s">
        <v>350</v>
      </c>
      <c r="N96" s="13" t="s">
        <v>351</v>
      </c>
      <c r="O96" s="39">
        <v>45610.0</v>
      </c>
    </row>
    <row r="97">
      <c r="A97" s="14" t="s">
        <v>13</v>
      </c>
      <c r="B97" s="13" t="s">
        <v>352</v>
      </c>
      <c r="C97" s="13" t="s">
        <v>76</v>
      </c>
      <c r="D97" s="13" t="s">
        <v>260</v>
      </c>
      <c r="E97" s="14" t="s">
        <v>347</v>
      </c>
      <c r="F97" s="76" t="s">
        <v>353</v>
      </c>
      <c r="G97" s="5"/>
      <c r="H97" s="13" t="s">
        <v>138</v>
      </c>
      <c r="J97" s="13" t="s">
        <v>354</v>
      </c>
      <c r="K97" s="24">
        <v>0.0</v>
      </c>
      <c r="L97" s="63"/>
      <c r="M97" s="20" t="s">
        <v>355</v>
      </c>
      <c r="O97" s="39">
        <v>45631.0</v>
      </c>
    </row>
    <row r="98">
      <c r="A98" s="14" t="s">
        <v>13</v>
      </c>
      <c r="B98" s="80" t="s">
        <v>356</v>
      </c>
      <c r="C98" s="80" t="s">
        <v>146</v>
      </c>
      <c r="D98" s="13" t="s">
        <v>213</v>
      </c>
      <c r="E98" s="14" t="s">
        <v>129</v>
      </c>
      <c r="F98" s="76" t="s">
        <v>357</v>
      </c>
      <c r="G98" s="5"/>
      <c r="H98" s="13" t="s">
        <v>358</v>
      </c>
      <c r="J98" s="35" t="s">
        <v>359</v>
      </c>
      <c r="K98" s="24">
        <v>0.0</v>
      </c>
      <c r="L98" s="63"/>
      <c r="M98" s="20" t="s">
        <v>360</v>
      </c>
      <c r="N98" s="20" t="s">
        <v>361</v>
      </c>
      <c r="O98" s="39">
        <v>45631.0</v>
      </c>
    </row>
    <row r="99">
      <c r="A99" s="14" t="s">
        <v>13</v>
      </c>
      <c r="B99" s="80" t="s">
        <v>362</v>
      </c>
      <c r="C99" s="80" t="s">
        <v>142</v>
      </c>
      <c r="D99" s="13" t="s">
        <v>213</v>
      </c>
      <c r="E99" s="14" t="s">
        <v>129</v>
      </c>
      <c r="F99" s="76" t="s">
        <v>363</v>
      </c>
      <c r="G99" s="5"/>
      <c r="H99" s="13" t="s">
        <v>358</v>
      </c>
      <c r="J99" s="35" t="s">
        <v>364</v>
      </c>
      <c r="K99" s="24">
        <v>0.0</v>
      </c>
      <c r="L99" s="63"/>
      <c r="M99" s="20" t="s">
        <v>365</v>
      </c>
      <c r="N99" s="20" t="s">
        <v>366</v>
      </c>
      <c r="O99" s="39">
        <v>45617.0</v>
      </c>
    </row>
    <row r="100">
      <c r="A100" s="14" t="s">
        <v>13</v>
      </c>
      <c r="B100" s="81" t="s">
        <v>367</v>
      </c>
      <c r="C100" s="81" t="s">
        <v>109</v>
      </c>
      <c r="D100" s="13" t="s">
        <v>72</v>
      </c>
      <c r="E100" s="14" t="s">
        <v>129</v>
      </c>
      <c r="F100" s="35" t="s">
        <v>204</v>
      </c>
      <c r="G100" s="82" t="s">
        <v>368</v>
      </c>
      <c r="H100" s="13" t="s">
        <v>358</v>
      </c>
      <c r="J100" s="35" t="s">
        <v>369</v>
      </c>
      <c r="K100" s="24">
        <v>0.0</v>
      </c>
      <c r="L100" s="63"/>
      <c r="M100" s="20" t="s">
        <v>370</v>
      </c>
      <c r="N100" s="20"/>
      <c r="O100" s="39">
        <v>45645.0</v>
      </c>
    </row>
    <row r="101">
      <c r="A101" s="14" t="s">
        <v>13</v>
      </c>
      <c r="B101" s="83" t="s">
        <v>371</v>
      </c>
      <c r="C101" s="81" t="s">
        <v>76</v>
      </c>
      <c r="D101" s="13" t="s">
        <v>72</v>
      </c>
      <c r="E101" s="14" t="s">
        <v>347</v>
      </c>
      <c r="F101" s="76" t="s">
        <v>372</v>
      </c>
      <c r="G101" s="5"/>
      <c r="H101" s="13" t="s">
        <v>358</v>
      </c>
      <c r="J101" s="35" t="s">
        <v>373</v>
      </c>
      <c r="K101" s="24">
        <v>0.0</v>
      </c>
      <c r="L101" s="63"/>
      <c r="M101" s="20" t="s">
        <v>374</v>
      </c>
      <c r="N101" s="20"/>
      <c r="O101" s="39">
        <v>45757.0</v>
      </c>
    </row>
    <row r="102">
      <c r="A102" s="14" t="s">
        <v>13</v>
      </c>
      <c r="B102" s="83" t="s">
        <v>375</v>
      </c>
      <c r="C102" s="81" t="s">
        <v>76</v>
      </c>
      <c r="D102" s="13" t="s">
        <v>260</v>
      </c>
      <c r="E102" s="14" t="s">
        <v>376</v>
      </c>
      <c r="F102" s="35"/>
      <c r="G102" s="5"/>
      <c r="H102" s="13" t="s">
        <v>358</v>
      </c>
      <c r="J102" s="35" t="s">
        <v>377</v>
      </c>
      <c r="K102" s="24">
        <v>0.0</v>
      </c>
      <c r="L102" s="63"/>
      <c r="M102" s="20" t="s">
        <v>378</v>
      </c>
      <c r="N102" s="20" t="s">
        <v>379</v>
      </c>
      <c r="O102" s="39">
        <v>45728.0</v>
      </c>
    </row>
    <row r="103">
      <c r="A103" s="14" t="s">
        <v>13</v>
      </c>
      <c r="B103" s="83" t="s">
        <v>380</v>
      </c>
      <c r="C103" s="81" t="s">
        <v>76</v>
      </c>
      <c r="D103" s="13" t="s">
        <v>260</v>
      </c>
      <c r="E103" s="14" t="s">
        <v>347</v>
      </c>
      <c r="F103" s="76" t="s">
        <v>381</v>
      </c>
      <c r="G103" s="5"/>
      <c r="H103" s="13" t="s">
        <v>138</v>
      </c>
      <c r="J103" s="35" t="s">
        <v>382</v>
      </c>
      <c r="K103" s="24">
        <v>0.0</v>
      </c>
      <c r="L103" s="63"/>
      <c r="M103" s="20"/>
      <c r="O103" s="39">
        <v>45617.0</v>
      </c>
    </row>
    <row r="104">
      <c r="A104" s="14" t="s">
        <v>13</v>
      </c>
      <c r="B104" s="83" t="s">
        <v>383</v>
      </c>
      <c r="C104" s="83" t="s">
        <v>76</v>
      </c>
      <c r="D104" s="13" t="s">
        <v>260</v>
      </c>
      <c r="E104" s="14" t="s">
        <v>347</v>
      </c>
      <c r="F104" s="76" t="s">
        <v>384</v>
      </c>
      <c r="G104" s="5"/>
      <c r="H104" s="13" t="s">
        <v>138</v>
      </c>
      <c r="J104" s="35" t="s">
        <v>385</v>
      </c>
      <c r="K104" s="24">
        <v>0.0</v>
      </c>
      <c r="L104" s="63"/>
      <c r="M104" s="20" t="s">
        <v>386</v>
      </c>
      <c r="O104" s="39">
        <v>45792.0</v>
      </c>
    </row>
    <row r="105">
      <c r="A105" s="14" t="s">
        <v>13</v>
      </c>
      <c r="B105" s="83" t="s">
        <v>387</v>
      </c>
      <c r="C105" s="83" t="s">
        <v>76</v>
      </c>
      <c r="D105" s="13" t="s">
        <v>260</v>
      </c>
      <c r="E105" s="14" t="s">
        <v>347</v>
      </c>
      <c r="F105" s="74"/>
      <c r="G105" s="5"/>
      <c r="H105" s="13" t="s">
        <v>138</v>
      </c>
      <c r="J105" s="35" t="s">
        <v>388</v>
      </c>
      <c r="K105" s="24">
        <v>0.05</v>
      </c>
      <c r="L105" s="63"/>
      <c r="M105" s="20" t="s">
        <v>389</v>
      </c>
      <c r="O105" s="39">
        <v>45792.0</v>
      </c>
    </row>
    <row r="106">
      <c r="A106" s="14" t="s">
        <v>13</v>
      </c>
      <c r="B106" s="83" t="s">
        <v>390</v>
      </c>
      <c r="C106" s="83" t="s">
        <v>76</v>
      </c>
      <c r="D106" s="13" t="s">
        <v>260</v>
      </c>
      <c r="E106" s="14" t="s">
        <v>347</v>
      </c>
      <c r="F106" s="76" t="s">
        <v>391</v>
      </c>
      <c r="G106" s="82" t="s">
        <v>392</v>
      </c>
      <c r="H106" s="13" t="s">
        <v>138</v>
      </c>
      <c r="J106" s="35" t="s">
        <v>393</v>
      </c>
      <c r="K106" s="24">
        <v>0.0</v>
      </c>
      <c r="L106" s="63"/>
      <c r="M106" s="20" t="s">
        <v>394</v>
      </c>
      <c r="O106" s="39">
        <v>45645.0</v>
      </c>
    </row>
    <row r="107">
      <c r="A107" s="14" t="s">
        <v>13</v>
      </c>
      <c r="B107" s="83" t="s">
        <v>395</v>
      </c>
      <c r="C107" s="83" t="s">
        <v>76</v>
      </c>
      <c r="D107" s="13" t="s">
        <v>260</v>
      </c>
      <c r="E107" s="14" t="s">
        <v>347</v>
      </c>
      <c r="F107" s="76" t="s">
        <v>396</v>
      </c>
      <c r="G107" s="5"/>
      <c r="H107" s="13" t="s">
        <v>138</v>
      </c>
      <c r="J107" s="35" t="s">
        <v>397</v>
      </c>
      <c r="K107" s="24">
        <v>0.0</v>
      </c>
      <c r="L107" s="63"/>
      <c r="M107" s="20" t="s">
        <v>398</v>
      </c>
      <c r="O107" s="39">
        <v>45694.0</v>
      </c>
    </row>
    <row r="108">
      <c r="A108" s="14" t="s">
        <v>13</v>
      </c>
      <c r="B108" s="83" t="s">
        <v>399</v>
      </c>
      <c r="C108" s="83" t="s">
        <v>76</v>
      </c>
      <c r="D108" s="13" t="s">
        <v>260</v>
      </c>
      <c r="E108" s="14" t="s">
        <v>400</v>
      </c>
      <c r="F108" s="76" t="s">
        <v>401</v>
      </c>
      <c r="G108" s="5"/>
      <c r="H108" s="13" t="s">
        <v>358</v>
      </c>
      <c r="J108" s="35" t="s">
        <v>402</v>
      </c>
      <c r="K108" s="24">
        <v>0.0</v>
      </c>
      <c r="L108" s="63"/>
      <c r="M108" s="20" t="s">
        <v>403</v>
      </c>
      <c r="O108" s="39">
        <v>45792.0</v>
      </c>
    </row>
    <row r="109">
      <c r="A109" s="14" t="s">
        <v>13</v>
      </c>
      <c r="B109" s="83" t="s">
        <v>404</v>
      </c>
      <c r="C109" s="83" t="s">
        <v>109</v>
      </c>
      <c r="D109" s="13" t="s">
        <v>260</v>
      </c>
      <c r="E109" s="14" t="s">
        <v>347</v>
      </c>
      <c r="F109" s="74"/>
      <c r="G109" s="5"/>
      <c r="H109" s="13" t="s">
        <v>138</v>
      </c>
      <c r="J109" s="35" t="s">
        <v>397</v>
      </c>
      <c r="K109" s="24">
        <v>0.0</v>
      </c>
      <c r="L109" s="63"/>
      <c r="M109" s="20" t="s">
        <v>405</v>
      </c>
      <c r="O109" s="39">
        <v>45674.0</v>
      </c>
    </row>
    <row r="110">
      <c r="A110" s="14" t="s">
        <v>13</v>
      </c>
      <c r="B110" s="83" t="s">
        <v>406</v>
      </c>
      <c r="C110" s="83" t="s">
        <v>76</v>
      </c>
      <c r="D110" s="13" t="s">
        <v>260</v>
      </c>
      <c r="E110" s="14" t="s">
        <v>347</v>
      </c>
      <c r="F110" s="76" t="s">
        <v>407</v>
      </c>
      <c r="G110" s="5"/>
      <c r="H110" s="13" t="s">
        <v>335</v>
      </c>
      <c r="J110" s="35" t="s">
        <v>408</v>
      </c>
      <c r="K110" s="24">
        <v>0.0</v>
      </c>
      <c r="L110" s="63"/>
      <c r="O110" s="39">
        <v>45674.0</v>
      </c>
    </row>
    <row r="111">
      <c r="A111" s="14" t="s">
        <v>13</v>
      </c>
      <c r="B111" s="83" t="s">
        <v>409</v>
      </c>
      <c r="C111" s="83" t="s">
        <v>76</v>
      </c>
      <c r="D111" s="13" t="s">
        <v>260</v>
      </c>
      <c r="E111" s="14" t="s">
        <v>347</v>
      </c>
      <c r="F111" s="76" t="s">
        <v>410</v>
      </c>
      <c r="G111" s="5"/>
      <c r="H111" s="13" t="s">
        <v>138</v>
      </c>
      <c r="J111" s="35" t="s">
        <v>411</v>
      </c>
      <c r="K111" s="24">
        <v>0.0</v>
      </c>
      <c r="L111" s="39">
        <v>45688.0</v>
      </c>
      <c r="M111" s="13" t="s">
        <v>412</v>
      </c>
      <c r="O111" s="39">
        <v>45757.0</v>
      </c>
    </row>
    <row r="112">
      <c r="A112" s="14" t="s">
        <v>13</v>
      </c>
      <c r="B112" s="83" t="s">
        <v>413</v>
      </c>
      <c r="C112" s="83" t="s">
        <v>212</v>
      </c>
      <c r="D112" s="13" t="s">
        <v>72</v>
      </c>
      <c r="E112" s="14" t="s">
        <v>414</v>
      </c>
      <c r="F112" s="76" t="s">
        <v>415</v>
      </c>
      <c r="G112" s="5"/>
      <c r="H112" s="13" t="s">
        <v>358</v>
      </c>
      <c r="I112" s="20" t="s">
        <v>416</v>
      </c>
      <c r="J112" s="35" t="s">
        <v>417</v>
      </c>
      <c r="K112" s="24">
        <v>0.0</v>
      </c>
      <c r="L112" s="39">
        <v>45695.0</v>
      </c>
      <c r="M112" s="13" t="s">
        <v>418</v>
      </c>
      <c r="N112" s="20" t="s">
        <v>419</v>
      </c>
      <c r="O112" s="39">
        <v>45757.0</v>
      </c>
    </row>
    <row r="113">
      <c r="A113" s="14" t="s">
        <v>13</v>
      </c>
      <c r="B113" s="83" t="s">
        <v>420</v>
      </c>
      <c r="C113" s="83" t="s">
        <v>146</v>
      </c>
      <c r="D113" s="13" t="s">
        <v>260</v>
      </c>
      <c r="E113" s="14" t="s">
        <v>414</v>
      </c>
      <c r="F113" s="37" t="s">
        <v>421</v>
      </c>
      <c r="G113" s="5"/>
      <c r="H113" s="13" t="s">
        <v>358</v>
      </c>
      <c r="J113" s="35" t="s">
        <v>422</v>
      </c>
      <c r="K113" s="24">
        <v>0.4</v>
      </c>
      <c r="L113" s="39">
        <v>45741.0</v>
      </c>
      <c r="M113" s="20" t="s">
        <v>423</v>
      </c>
      <c r="N113" s="20" t="s">
        <v>424</v>
      </c>
      <c r="O113" s="39">
        <v>45792.0</v>
      </c>
    </row>
    <row r="114">
      <c r="A114" s="5"/>
      <c r="B114" s="81"/>
      <c r="C114" s="81"/>
      <c r="E114" s="5"/>
      <c r="F114" s="74"/>
      <c r="G114" s="5"/>
      <c r="J114" s="35"/>
      <c r="K114" s="64"/>
      <c r="L114" s="63"/>
      <c r="O114" s="63"/>
    </row>
    <row r="115">
      <c r="A115" s="52" t="s">
        <v>198</v>
      </c>
      <c r="B115" s="53"/>
      <c r="C115" s="53"/>
      <c r="D115" s="54"/>
      <c r="E115" s="55"/>
      <c r="F115" s="56"/>
      <c r="G115" s="55"/>
      <c r="H115" s="54"/>
      <c r="I115" s="54"/>
      <c r="J115" s="54"/>
      <c r="K115" s="57"/>
      <c r="L115" s="58"/>
      <c r="M115" s="54"/>
      <c r="N115" s="54"/>
      <c r="O115" s="58"/>
      <c r="P115" s="54"/>
      <c r="Q115" s="54"/>
      <c r="R115" s="54"/>
      <c r="S115" s="54"/>
      <c r="T115" s="54"/>
      <c r="U115" s="54"/>
      <c r="V115" s="54"/>
      <c r="W115" s="54"/>
      <c r="X115" s="54"/>
      <c r="Y115" s="54"/>
      <c r="Z115" s="54"/>
      <c r="AA115" s="54"/>
      <c r="AB115" s="54"/>
      <c r="AC115" s="54"/>
      <c r="AD115" s="54"/>
      <c r="AE115" s="54"/>
    </row>
    <row r="116">
      <c r="A116" s="59"/>
      <c r="B116" s="84"/>
      <c r="C116" s="84"/>
      <c r="D116" s="23"/>
      <c r="E116" s="59"/>
      <c r="F116" s="75"/>
      <c r="G116" s="59"/>
      <c r="H116" s="23"/>
      <c r="I116" s="23"/>
      <c r="J116" s="23"/>
      <c r="K116" s="60" t="s">
        <v>199</v>
      </c>
      <c r="L116" s="61"/>
      <c r="M116" s="23"/>
      <c r="N116" s="23"/>
      <c r="O116" s="61"/>
      <c r="P116" s="23"/>
      <c r="Q116" s="23"/>
      <c r="R116" s="23"/>
      <c r="S116" s="23"/>
      <c r="T116" s="23"/>
      <c r="U116" s="23"/>
      <c r="V116" s="23"/>
      <c r="W116" s="23"/>
      <c r="X116" s="23"/>
      <c r="Y116" s="23"/>
      <c r="Z116" s="23"/>
      <c r="AA116" s="23"/>
      <c r="AB116" s="23"/>
      <c r="AC116" s="23"/>
      <c r="AD116" s="23"/>
      <c r="AE116" s="23"/>
    </row>
    <row r="117">
      <c r="A117" s="78"/>
      <c r="E117" s="5"/>
      <c r="G117" s="5"/>
      <c r="K117" s="85">
        <v>0.65</v>
      </c>
      <c r="L117" s="63"/>
      <c r="O117" s="63"/>
    </row>
    <row r="118">
      <c r="A118" s="78"/>
      <c r="E118" s="5"/>
      <c r="G118" s="5"/>
      <c r="L118" s="63"/>
      <c r="O118" s="63"/>
    </row>
    <row r="119">
      <c r="A119" s="8" t="s">
        <v>425</v>
      </c>
      <c r="B119" s="72"/>
      <c r="C119" s="72"/>
      <c r="D119" s="72"/>
      <c r="E119" s="68"/>
      <c r="F119" s="72"/>
      <c r="G119" s="68"/>
      <c r="H119" s="72"/>
      <c r="I119" s="72"/>
      <c r="J119" s="72"/>
      <c r="K119" s="72"/>
      <c r="L119" s="73"/>
      <c r="M119" s="72"/>
      <c r="N119" s="72"/>
      <c r="O119" s="73"/>
      <c r="P119" s="72"/>
      <c r="Q119" s="72"/>
      <c r="R119" s="72"/>
      <c r="S119" s="72"/>
      <c r="T119" s="72"/>
      <c r="U119" s="72"/>
      <c r="V119" s="72"/>
      <c r="W119" s="72"/>
      <c r="X119" s="72"/>
      <c r="Y119" s="72"/>
      <c r="Z119" s="72"/>
      <c r="AA119" s="72"/>
      <c r="AB119" s="72"/>
      <c r="AC119" s="72"/>
      <c r="AD119" s="72"/>
      <c r="AE119" s="72"/>
    </row>
    <row r="120">
      <c r="A120" s="14" t="s">
        <v>14</v>
      </c>
      <c r="B120" s="13" t="s">
        <v>426</v>
      </c>
      <c r="C120" s="13" t="s">
        <v>109</v>
      </c>
      <c r="D120" s="13" t="s">
        <v>260</v>
      </c>
      <c r="E120" s="14" t="s">
        <v>347</v>
      </c>
      <c r="F120" s="37" t="s">
        <v>427</v>
      </c>
      <c r="G120" s="5"/>
      <c r="H120" s="13" t="s">
        <v>138</v>
      </c>
      <c r="K120" s="24">
        <v>0.0</v>
      </c>
      <c r="L120" s="63"/>
      <c r="M120" s="20" t="s">
        <v>428</v>
      </c>
      <c r="O120" s="39">
        <v>45709.0</v>
      </c>
    </row>
    <row r="121">
      <c r="A121" s="14" t="s">
        <v>14</v>
      </c>
      <c r="B121" s="13" t="s">
        <v>429</v>
      </c>
      <c r="C121" s="13" t="s">
        <v>430</v>
      </c>
      <c r="D121" s="13" t="s">
        <v>260</v>
      </c>
      <c r="E121" s="14" t="s">
        <v>347</v>
      </c>
      <c r="F121" s="37" t="s">
        <v>431</v>
      </c>
      <c r="G121" s="5"/>
      <c r="H121" s="13" t="s">
        <v>138</v>
      </c>
      <c r="K121" s="24">
        <v>0.0</v>
      </c>
      <c r="L121" s="63"/>
      <c r="M121" s="20" t="s">
        <v>432</v>
      </c>
      <c r="O121" s="39">
        <v>45701.0</v>
      </c>
    </row>
    <row r="122">
      <c r="A122" s="5"/>
      <c r="E122" s="5"/>
      <c r="F122" s="74"/>
      <c r="G122" s="5"/>
      <c r="K122" s="64"/>
      <c r="L122" s="63"/>
      <c r="O122" s="63"/>
    </row>
    <row r="123">
      <c r="A123" s="5"/>
      <c r="E123" s="5"/>
      <c r="F123" s="74"/>
      <c r="G123" s="5"/>
      <c r="K123" s="64"/>
      <c r="L123" s="63"/>
      <c r="O123" s="63"/>
    </row>
    <row r="124">
      <c r="A124" s="5"/>
      <c r="E124" s="5"/>
      <c r="F124" s="74"/>
      <c r="G124" s="5"/>
      <c r="K124" s="64"/>
      <c r="L124" s="63"/>
      <c r="O124" s="63"/>
    </row>
    <row r="125">
      <c r="A125" s="5"/>
      <c r="E125" s="5"/>
      <c r="F125" s="74"/>
      <c r="G125" s="5"/>
      <c r="K125" s="64"/>
      <c r="L125" s="63"/>
      <c r="O125" s="63"/>
    </row>
    <row r="126">
      <c r="A126" s="5"/>
      <c r="E126" s="5"/>
      <c r="F126" s="74"/>
      <c r="G126" s="5"/>
      <c r="K126" s="64"/>
      <c r="L126" s="63"/>
      <c r="O126" s="63"/>
    </row>
    <row r="127">
      <c r="A127" s="5"/>
      <c r="E127" s="5"/>
      <c r="F127" s="74"/>
      <c r="G127" s="5"/>
      <c r="K127" s="64"/>
      <c r="L127" s="63"/>
      <c r="O127" s="63"/>
    </row>
    <row r="128">
      <c r="A128" s="5"/>
      <c r="E128" s="5"/>
      <c r="F128" s="74"/>
      <c r="G128" s="5"/>
      <c r="K128" s="64"/>
      <c r="L128" s="63"/>
      <c r="O128" s="63"/>
    </row>
    <row r="129">
      <c r="A129" s="52" t="s">
        <v>198</v>
      </c>
      <c r="B129" s="53"/>
      <c r="C129" s="53"/>
      <c r="D129" s="54"/>
      <c r="E129" s="55"/>
      <c r="F129" s="56"/>
      <c r="G129" s="55"/>
      <c r="H129" s="54"/>
      <c r="I129" s="54"/>
      <c r="J129" s="54"/>
      <c r="K129" s="57"/>
      <c r="L129" s="58"/>
      <c r="M129" s="54"/>
      <c r="N129" s="54"/>
      <c r="O129" s="58"/>
      <c r="P129" s="54"/>
      <c r="Q129" s="54"/>
      <c r="R129" s="54"/>
      <c r="S129" s="54"/>
      <c r="T129" s="54"/>
      <c r="U129" s="54"/>
      <c r="V129" s="54"/>
      <c r="W129" s="54"/>
      <c r="X129" s="54"/>
      <c r="Y129" s="54"/>
      <c r="Z129" s="54"/>
      <c r="AA129" s="54"/>
      <c r="AB129" s="54"/>
      <c r="AC129" s="54"/>
      <c r="AD129" s="54"/>
      <c r="AE129" s="54"/>
    </row>
    <row r="130">
      <c r="A130" s="5"/>
      <c r="E130" s="5"/>
      <c r="F130" s="74"/>
      <c r="G130" s="5"/>
      <c r="K130" s="60" t="s">
        <v>199</v>
      </c>
      <c r="L130" s="63"/>
      <c r="O130" s="63"/>
    </row>
    <row r="131">
      <c r="A131" s="5"/>
      <c r="E131" s="5"/>
      <c r="F131" s="74"/>
      <c r="G131" s="5"/>
      <c r="K131" s="86">
        <f>SUM(K121:K127)</f>
        <v>0</v>
      </c>
      <c r="L131" s="63"/>
      <c r="O131" s="63"/>
    </row>
    <row r="132">
      <c r="A132" s="5"/>
      <c r="E132" s="5"/>
      <c r="F132" s="74"/>
      <c r="G132" s="5"/>
      <c r="K132" s="64"/>
      <c r="L132" s="63"/>
      <c r="O132" s="63"/>
    </row>
    <row r="133">
      <c r="A133" s="5"/>
      <c r="E133" s="5"/>
      <c r="F133" s="74"/>
      <c r="G133" s="5"/>
      <c r="K133" s="64"/>
      <c r="L133" s="63"/>
      <c r="O133" s="63"/>
    </row>
    <row r="134">
      <c r="A134" s="5"/>
      <c r="E134" s="5"/>
      <c r="F134" s="74"/>
      <c r="G134" s="5"/>
      <c r="K134" s="64"/>
      <c r="L134" s="63"/>
      <c r="O134" s="63"/>
    </row>
    <row r="135">
      <c r="A135" s="5"/>
      <c r="E135" s="5"/>
      <c r="F135" s="74"/>
      <c r="G135" s="5"/>
      <c r="K135" s="64"/>
      <c r="L135" s="63"/>
      <c r="O135" s="63"/>
    </row>
    <row r="136">
      <c r="A136" s="5"/>
      <c r="E136" s="5"/>
      <c r="F136" s="74"/>
      <c r="G136" s="5"/>
      <c r="K136" s="64"/>
      <c r="L136" s="63"/>
      <c r="O136" s="63"/>
    </row>
    <row r="137">
      <c r="A137" s="5"/>
      <c r="E137" s="5"/>
      <c r="F137" s="74"/>
      <c r="G137" s="5"/>
      <c r="K137" s="64"/>
      <c r="L137" s="63"/>
      <c r="O137" s="63"/>
    </row>
    <row r="138">
      <c r="A138" s="5"/>
      <c r="E138" s="5"/>
      <c r="F138" s="74"/>
      <c r="G138" s="5"/>
      <c r="K138" s="64"/>
      <c r="L138" s="63"/>
      <c r="O138" s="63"/>
    </row>
    <row r="139">
      <c r="A139" s="5"/>
      <c r="E139" s="5"/>
      <c r="F139" s="74"/>
      <c r="G139" s="5"/>
      <c r="K139" s="64"/>
      <c r="L139" s="63"/>
      <c r="O139" s="63"/>
    </row>
    <row r="140">
      <c r="A140" s="5"/>
      <c r="E140" s="5"/>
      <c r="F140" s="74"/>
      <c r="G140" s="5"/>
      <c r="K140" s="64"/>
      <c r="L140" s="63"/>
      <c r="O140" s="63"/>
    </row>
    <row r="141">
      <c r="A141" s="5"/>
      <c r="E141" s="5"/>
      <c r="F141" s="74"/>
      <c r="G141" s="5"/>
      <c r="K141" s="64"/>
      <c r="L141" s="63"/>
      <c r="O141" s="63"/>
    </row>
    <row r="142">
      <c r="A142" s="5"/>
      <c r="E142" s="5"/>
      <c r="F142" s="74"/>
      <c r="G142" s="5"/>
      <c r="K142" s="64"/>
      <c r="L142" s="63"/>
      <c r="O142" s="63"/>
    </row>
    <row r="143">
      <c r="A143" s="5"/>
      <c r="E143" s="5"/>
      <c r="F143" s="74"/>
      <c r="G143" s="5"/>
      <c r="K143" s="64"/>
      <c r="L143" s="63"/>
      <c r="O143" s="63"/>
    </row>
    <row r="144">
      <c r="A144" s="5"/>
      <c r="E144" s="5"/>
      <c r="F144" s="74"/>
      <c r="G144" s="5"/>
      <c r="K144" s="64"/>
      <c r="L144" s="63"/>
      <c r="O144" s="63"/>
    </row>
    <row r="145">
      <c r="A145" s="5"/>
      <c r="E145" s="5"/>
      <c r="F145" s="74"/>
      <c r="G145" s="5"/>
      <c r="K145" s="64"/>
      <c r="L145" s="63"/>
      <c r="O145" s="63"/>
    </row>
    <row r="146">
      <c r="A146" s="5"/>
      <c r="E146" s="5"/>
      <c r="F146" s="74"/>
      <c r="G146" s="5"/>
      <c r="K146" s="64"/>
      <c r="L146" s="63"/>
      <c r="O146" s="63"/>
    </row>
    <row r="147">
      <c r="A147" s="5"/>
      <c r="E147" s="5"/>
      <c r="F147" s="74"/>
      <c r="G147" s="5"/>
      <c r="K147" s="64"/>
      <c r="L147" s="63"/>
      <c r="O147" s="63"/>
    </row>
    <row r="148">
      <c r="A148" s="5"/>
      <c r="E148" s="5"/>
      <c r="F148" s="74"/>
      <c r="G148" s="5"/>
      <c r="K148" s="64"/>
      <c r="L148" s="63"/>
      <c r="O148" s="63"/>
    </row>
    <row r="149">
      <c r="A149" s="5"/>
      <c r="E149" s="5"/>
      <c r="F149" s="74"/>
      <c r="G149" s="5"/>
      <c r="K149" s="64"/>
      <c r="L149" s="63"/>
      <c r="O149" s="63"/>
    </row>
    <row r="150">
      <c r="A150" s="5"/>
      <c r="E150" s="5"/>
      <c r="F150" s="74"/>
      <c r="G150" s="5"/>
      <c r="K150" s="64"/>
      <c r="L150" s="63"/>
      <c r="O150" s="63"/>
    </row>
    <row r="151">
      <c r="A151" s="5"/>
      <c r="E151" s="5"/>
      <c r="F151" s="74"/>
      <c r="G151" s="5"/>
      <c r="K151" s="64"/>
      <c r="L151" s="63"/>
      <c r="O151" s="63"/>
    </row>
    <row r="152">
      <c r="A152" s="5"/>
      <c r="E152" s="5"/>
      <c r="F152" s="74"/>
      <c r="G152" s="5"/>
      <c r="K152" s="64"/>
      <c r="L152" s="63"/>
      <c r="O152" s="63"/>
    </row>
    <row r="153">
      <c r="A153" s="5"/>
      <c r="E153" s="5"/>
      <c r="F153" s="74"/>
      <c r="G153" s="5"/>
      <c r="K153" s="64"/>
      <c r="L153" s="63"/>
      <c r="O153" s="63"/>
    </row>
    <row r="154">
      <c r="A154" s="5"/>
      <c r="E154" s="5"/>
      <c r="F154" s="74"/>
      <c r="G154" s="5"/>
      <c r="K154" s="64"/>
      <c r="L154" s="63"/>
      <c r="O154" s="63"/>
    </row>
    <row r="155">
      <c r="A155" s="5"/>
      <c r="E155" s="5"/>
      <c r="F155" s="74"/>
      <c r="G155" s="5"/>
      <c r="K155" s="64"/>
      <c r="L155" s="63"/>
      <c r="O155" s="63"/>
    </row>
    <row r="156">
      <c r="A156" s="5"/>
      <c r="E156" s="5"/>
      <c r="F156" s="74"/>
      <c r="G156" s="5"/>
      <c r="K156" s="64"/>
      <c r="L156" s="63"/>
      <c r="O156" s="63"/>
    </row>
    <row r="157">
      <c r="A157" s="5"/>
      <c r="E157" s="5"/>
      <c r="F157" s="74"/>
      <c r="G157" s="5"/>
      <c r="K157" s="64"/>
      <c r="L157" s="63"/>
      <c r="O157" s="63"/>
    </row>
    <row r="158">
      <c r="A158" s="5"/>
      <c r="E158" s="5"/>
      <c r="F158" s="74"/>
      <c r="G158" s="5"/>
      <c r="K158" s="64"/>
      <c r="L158" s="63"/>
      <c r="O158" s="63"/>
    </row>
    <row r="159">
      <c r="A159" s="5"/>
      <c r="E159" s="5"/>
      <c r="F159" s="74"/>
      <c r="G159" s="5"/>
      <c r="K159" s="64"/>
      <c r="L159" s="63"/>
      <c r="O159" s="63"/>
    </row>
    <row r="160">
      <c r="A160" s="5"/>
      <c r="E160" s="5"/>
      <c r="F160" s="74"/>
      <c r="G160" s="5"/>
      <c r="K160" s="64"/>
      <c r="L160" s="63"/>
      <c r="O160" s="63"/>
    </row>
    <row r="161">
      <c r="A161" s="5"/>
      <c r="E161" s="5"/>
      <c r="F161" s="74"/>
      <c r="G161" s="5"/>
      <c r="K161" s="64"/>
      <c r="L161" s="63"/>
      <c r="O161" s="63"/>
    </row>
    <row r="162">
      <c r="A162" s="5"/>
      <c r="E162" s="5"/>
      <c r="F162" s="74"/>
      <c r="G162" s="5"/>
      <c r="K162" s="64"/>
      <c r="L162" s="63"/>
      <c r="O162" s="63"/>
    </row>
    <row r="163">
      <c r="A163" s="5"/>
      <c r="E163" s="5"/>
      <c r="F163" s="74"/>
      <c r="G163" s="5"/>
      <c r="K163" s="64"/>
      <c r="L163" s="63"/>
      <c r="O163" s="63"/>
    </row>
    <row r="164">
      <c r="A164" s="5"/>
      <c r="E164" s="5"/>
      <c r="F164" s="74"/>
      <c r="G164" s="5"/>
      <c r="K164" s="64"/>
      <c r="L164" s="63"/>
      <c r="O164" s="63"/>
    </row>
    <row r="165">
      <c r="A165" s="5"/>
      <c r="E165" s="5"/>
      <c r="F165" s="74"/>
      <c r="G165" s="5"/>
      <c r="K165" s="64"/>
      <c r="L165" s="63"/>
      <c r="O165" s="63"/>
    </row>
    <row r="166">
      <c r="A166" s="5"/>
      <c r="E166" s="5"/>
      <c r="F166" s="74"/>
      <c r="G166" s="5"/>
      <c r="K166" s="64"/>
      <c r="L166" s="63"/>
      <c r="O166" s="63"/>
    </row>
    <row r="167">
      <c r="A167" s="5"/>
      <c r="E167" s="5"/>
      <c r="F167" s="74"/>
      <c r="G167" s="5"/>
      <c r="K167" s="64"/>
      <c r="L167" s="63"/>
      <c r="O167" s="63"/>
    </row>
    <row r="168">
      <c r="A168" s="5"/>
      <c r="E168" s="5"/>
      <c r="F168" s="74"/>
      <c r="G168" s="5"/>
      <c r="K168" s="64"/>
      <c r="L168" s="63"/>
      <c r="O168" s="63"/>
    </row>
    <row r="169">
      <c r="A169" s="5"/>
      <c r="E169" s="5"/>
      <c r="F169" s="74"/>
      <c r="G169" s="5"/>
      <c r="K169" s="64"/>
      <c r="L169" s="63"/>
      <c r="O169" s="63"/>
    </row>
    <row r="170">
      <c r="A170" s="5"/>
      <c r="E170" s="5"/>
      <c r="F170" s="74"/>
      <c r="G170" s="5"/>
      <c r="K170" s="64"/>
      <c r="L170" s="63"/>
      <c r="O170" s="63"/>
    </row>
    <row r="171">
      <c r="A171" s="5"/>
      <c r="E171" s="5"/>
      <c r="F171" s="74"/>
      <c r="G171" s="5"/>
      <c r="K171" s="64"/>
      <c r="L171" s="63"/>
      <c r="O171" s="63"/>
    </row>
    <row r="172">
      <c r="A172" s="5"/>
      <c r="E172" s="5"/>
      <c r="F172" s="74"/>
      <c r="G172" s="5"/>
      <c r="K172" s="64"/>
      <c r="L172" s="63"/>
      <c r="O172" s="63"/>
    </row>
    <row r="173">
      <c r="A173" s="5"/>
      <c r="E173" s="5"/>
      <c r="F173" s="74"/>
      <c r="G173" s="5"/>
      <c r="K173" s="64"/>
      <c r="L173" s="63"/>
      <c r="O173" s="63"/>
    </row>
    <row r="174">
      <c r="A174" s="5"/>
      <c r="E174" s="5"/>
      <c r="F174" s="74"/>
      <c r="G174" s="5"/>
      <c r="K174" s="64"/>
      <c r="L174" s="63"/>
      <c r="O174" s="63"/>
    </row>
    <row r="175">
      <c r="A175" s="5"/>
      <c r="E175" s="5"/>
      <c r="F175" s="74"/>
      <c r="G175" s="5"/>
      <c r="K175" s="64"/>
      <c r="L175" s="63"/>
      <c r="O175" s="63"/>
    </row>
    <row r="176">
      <c r="A176" s="5"/>
      <c r="E176" s="5"/>
      <c r="F176" s="74"/>
      <c r="G176" s="5"/>
      <c r="K176" s="64"/>
      <c r="L176" s="63"/>
      <c r="O176" s="63"/>
    </row>
    <row r="177">
      <c r="A177" s="5"/>
      <c r="E177" s="5"/>
      <c r="F177" s="74"/>
      <c r="G177" s="5"/>
      <c r="K177" s="64"/>
      <c r="L177" s="63"/>
      <c r="O177" s="63"/>
    </row>
    <row r="178">
      <c r="A178" s="5"/>
      <c r="E178" s="5"/>
      <c r="F178" s="74"/>
      <c r="G178" s="5"/>
      <c r="K178" s="64"/>
      <c r="L178" s="63"/>
      <c r="O178" s="63"/>
    </row>
    <row r="179">
      <c r="A179" s="5"/>
      <c r="E179" s="5"/>
      <c r="F179" s="74"/>
      <c r="G179" s="5"/>
      <c r="K179" s="64"/>
      <c r="L179" s="63"/>
      <c r="O179" s="63"/>
    </row>
    <row r="180">
      <c r="A180" s="5"/>
      <c r="E180" s="5"/>
      <c r="F180" s="74"/>
      <c r="G180" s="5"/>
      <c r="K180" s="64"/>
      <c r="L180" s="63"/>
      <c r="O180" s="63"/>
    </row>
    <row r="181">
      <c r="A181" s="5"/>
      <c r="E181" s="5"/>
      <c r="F181" s="74"/>
      <c r="G181" s="5"/>
      <c r="K181" s="64"/>
      <c r="L181" s="63"/>
      <c r="O181" s="63"/>
    </row>
    <row r="182">
      <c r="A182" s="5"/>
      <c r="E182" s="5"/>
      <c r="F182" s="74"/>
      <c r="G182" s="5"/>
      <c r="K182" s="64"/>
      <c r="L182" s="63"/>
      <c r="O182" s="63"/>
    </row>
    <row r="183">
      <c r="A183" s="5"/>
      <c r="E183" s="5"/>
      <c r="F183" s="74"/>
      <c r="G183" s="5"/>
      <c r="K183" s="64"/>
      <c r="L183" s="63"/>
      <c r="O183" s="63"/>
    </row>
    <row r="184">
      <c r="A184" s="5"/>
      <c r="E184" s="5"/>
      <c r="F184" s="74"/>
      <c r="G184" s="5"/>
      <c r="K184" s="64"/>
      <c r="L184" s="63"/>
      <c r="O184" s="63"/>
    </row>
    <row r="185">
      <c r="A185" s="5"/>
      <c r="E185" s="5"/>
      <c r="F185" s="74"/>
      <c r="G185" s="5"/>
      <c r="K185" s="64"/>
      <c r="L185" s="63"/>
      <c r="O185" s="63"/>
    </row>
    <row r="186">
      <c r="A186" s="5"/>
      <c r="E186" s="5"/>
      <c r="F186" s="74"/>
      <c r="G186" s="5"/>
      <c r="K186" s="64"/>
      <c r="L186" s="63"/>
      <c r="O186" s="63"/>
    </row>
    <row r="187">
      <c r="A187" s="5"/>
      <c r="E187" s="5"/>
      <c r="F187" s="74"/>
      <c r="G187" s="5"/>
      <c r="K187" s="64"/>
      <c r="L187" s="63"/>
      <c r="O187" s="63"/>
    </row>
    <row r="188">
      <c r="A188" s="5"/>
      <c r="E188" s="5"/>
      <c r="F188" s="74"/>
      <c r="G188" s="5"/>
      <c r="K188" s="64"/>
      <c r="L188" s="63"/>
      <c r="O188" s="63"/>
    </row>
    <row r="189">
      <c r="A189" s="5"/>
      <c r="E189" s="5"/>
      <c r="F189" s="74"/>
      <c r="G189" s="5"/>
      <c r="K189" s="64"/>
      <c r="L189" s="63"/>
      <c r="O189" s="63"/>
    </row>
    <row r="190">
      <c r="A190" s="5"/>
      <c r="E190" s="5"/>
      <c r="F190" s="74"/>
      <c r="G190" s="5"/>
      <c r="K190" s="64"/>
      <c r="L190" s="63"/>
      <c r="O190" s="63"/>
    </row>
    <row r="191">
      <c r="A191" s="5"/>
      <c r="E191" s="5"/>
      <c r="F191" s="74"/>
      <c r="G191" s="5"/>
      <c r="K191" s="64"/>
      <c r="L191" s="63"/>
      <c r="O191" s="63"/>
    </row>
    <row r="192">
      <c r="A192" s="5"/>
      <c r="E192" s="5"/>
      <c r="F192" s="74"/>
      <c r="G192" s="5"/>
      <c r="K192" s="64"/>
      <c r="L192" s="63"/>
      <c r="O192" s="63"/>
    </row>
    <row r="193">
      <c r="A193" s="5"/>
      <c r="E193" s="5"/>
      <c r="F193" s="74"/>
      <c r="G193" s="5"/>
      <c r="K193" s="64"/>
      <c r="L193" s="63"/>
      <c r="O193" s="63"/>
    </row>
    <row r="194">
      <c r="A194" s="5"/>
      <c r="E194" s="5"/>
      <c r="F194" s="74"/>
      <c r="G194" s="5"/>
      <c r="K194" s="64"/>
      <c r="L194" s="63"/>
      <c r="O194" s="63"/>
    </row>
    <row r="195">
      <c r="A195" s="5"/>
      <c r="E195" s="5"/>
      <c r="F195" s="74"/>
      <c r="G195" s="5"/>
      <c r="K195" s="64"/>
      <c r="L195" s="63"/>
      <c r="O195" s="63"/>
    </row>
    <row r="196">
      <c r="A196" s="5"/>
      <c r="E196" s="5"/>
      <c r="F196" s="74"/>
      <c r="G196" s="5"/>
      <c r="K196" s="64"/>
      <c r="L196" s="63"/>
      <c r="O196" s="63"/>
    </row>
    <row r="197">
      <c r="A197" s="5"/>
      <c r="E197" s="5"/>
      <c r="F197" s="74"/>
      <c r="G197" s="5"/>
      <c r="K197" s="64"/>
      <c r="L197" s="63"/>
      <c r="O197" s="63"/>
    </row>
    <row r="198">
      <c r="A198" s="5"/>
      <c r="E198" s="5"/>
      <c r="F198" s="74"/>
      <c r="G198" s="5"/>
      <c r="K198" s="64"/>
      <c r="L198" s="63"/>
      <c r="O198" s="63"/>
    </row>
    <row r="199">
      <c r="A199" s="5"/>
      <c r="E199" s="5"/>
      <c r="F199" s="74"/>
      <c r="G199" s="5"/>
      <c r="K199" s="64"/>
      <c r="L199" s="63"/>
      <c r="O199" s="63"/>
    </row>
    <row r="200">
      <c r="A200" s="5"/>
      <c r="E200" s="5"/>
      <c r="F200" s="74"/>
      <c r="G200" s="5"/>
      <c r="K200" s="64"/>
      <c r="L200" s="63"/>
      <c r="O200" s="63"/>
    </row>
    <row r="201">
      <c r="A201" s="5"/>
      <c r="E201" s="5"/>
      <c r="F201" s="74"/>
      <c r="G201" s="5"/>
      <c r="K201" s="64"/>
      <c r="L201" s="63"/>
      <c r="O201" s="63"/>
    </row>
    <row r="202">
      <c r="A202" s="5"/>
      <c r="E202" s="5"/>
      <c r="F202" s="74"/>
      <c r="G202" s="5"/>
      <c r="K202" s="64"/>
      <c r="L202" s="63"/>
      <c r="O202" s="63"/>
    </row>
    <row r="203">
      <c r="A203" s="5"/>
      <c r="E203" s="5"/>
      <c r="F203" s="74"/>
      <c r="G203" s="5"/>
      <c r="K203" s="64"/>
      <c r="L203" s="63"/>
      <c r="O203" s="63"/>
    </row>
    <row r="204">
      <c r="A204" s="5"/>
      <c r="E204" s="5"/>
      <c r="F204" s="74"/>
      <c r="G204" s="5"/>
      <c r="K204" s="64"/>
      <c r="L204" s="63"/>
      <c r="O204" s="63"/>
    </row>
    <row r="205">
      <c r="A205" s="5"/>
      <c r="E205" s="5"/>
      <c r="F205" s="74"/>
      <c r="G205" s="5"/>
      <c r="K205" s="64"/>
      <c r="L205" s="63"/>
      <c r="O205" s="63"/>
    </row>
    <row r="206">
      <c r="A206" s="5"/>
      <c r="E206" s="5"/>
      <c r="F206" s="74"/>
      <c r="G206" s="5"/>
      <c r="K206" s="64"/>
      <c r="L206" s="63"/>
      <c r="O206" s="63"/>
    </row>
    <row r="207">
      <c r="A207" s="5"/>
      <c r="E207" s="5"/>
      <c r="F207" s="74"/>
      <c r="G207" s="5"/>
      <c r="K207" s="64"/>
      <c r="L207" s="63"/>
      <c r="O207" s="63"/>
    </row>
    <row r="208">
      <c r="A208" s="5"/>
      <c r="E208" s="5"/>
      <c r="F208" s="74"/>
      <c r="G208" s="5"/>
      <c r="K208" s="64"/>
      <c r="L208" s="63"/>
      <c r="O208" s="63"/>
    </row>
    <row r="209">
      <c r="A209" s="5"/>
      <c r="E209" s="5"/>
      <c r="F209" s="74"/>
      <c r="G209" s="5"/>
      <c r="K209" s="64"/>
      <c r="L209" s="63"/>
      <c r="O209" s="63"/>
    </row>
    <row r="210">
      <c r="A210" s="5"/>
      <c r="E210" s="5"/>
      <c r="F210" s="74"/>
      <c r="G210" s="5"/>
      <c r="K210" s="64"/>
      <c r="L210" s="63"/>
      <c r="O210" s="63"/>
    </row>
    <row r="211">
      <c r="A211" s="5"/>
      <c r="E211" s="5"/>
      <c r="F211" s="74"/>
      <c r="G211" s="5"/>
      <c r="K211" s="64"/>
      <c r="L211" s="63"/>
      <c r="O211" s="63"/>
    </row>
    <row r="212">
      <c r="A212" s="5"/>
      <c r="E212" s="5"/>
      <c r="F212" s="74"/>
      <c r="G212" s="5"/>
      <c r="K212" s="64"/>
      <c r="L212" s="63"/>
      <c r="O212" s="63"/>
    </row>
    <row r="213">
      <c r="A213" s="5"/>
      <c r="E213" s="5"/>
      <c r="F213" s="74"/>
      <c r="G213" s="5"/>
      <c r="K213" s="64"/>
      <c r="L213" s="63"/>
      <c r="O213" s="63"/>
    </row>
    <row r="214">
      <c r="A214" s="5"/>
      <c r="E214" s="5"/>
      <c r="F214" s="74"/>
      <c r="G214" s="5"/>
      <c r="K214" s="64"/>
      <c r="L214" s="63"/>
      <c r="O214" s="63"/>
    </row>
    <row r="215">
      <c r="A215" s="5"/>
      <c r="E215" s="5"/>
      <c r="F215" s="74"/>
      <c r="G215" s="5"/>
      <c r="K215" s="64"/>
      <c r="L215" s="63"/>
      <c r="O215" s="63"/>
    </row>
    <row r="216">
      <c r="A216" s="5"/>
      <c r="E216" s="5"/>
      <c r="F216" s="74"/>
      <c r="G216" s="5"/>
      <c r="K216" s="64"/>
      <c r="L216" s="63"/>
      <c r="O216" s="63"/>
    </row>
    <row r="217">
      <c r="A217" s="5"/>
      <c r="E217" s="5"/>
      <c r="F217" s="74"/>
      <c r="G217" s="5"/>
      <c r="K217" s="64"/>
      <c r="L217" s="63"/>
      <c r="O217" s="63"/>
    </row>
    <row r="218">
      <c r="A218" s="5"/>
      <c r="E218" s="5"/>
      <c r="F218" s="74"/>
      <c r="G218" s="5"/>
      <c r="K218" s="64"/>
      <c r="L218" s="63"/>
      <c r="O218" s="63"/>
    </row>
    <row r="219">
      <c r="A219" s="5"/>
      <c r="E219" s="5"/>
      <c r="F219" s="74"/>
      <c r="G219" s="5"/>
      <c r="K219" s="64"/>
      <c r="L219" s="63"/>
      <c r="O219" s="63"/>
    </row>
    <row r="220">
      <c r="A220" s="5"/>
      <c r="E220" s="5"/>
      <c r="F220" s="74"/>
      <c r="G220" s="5"/>
      <c r="K220" s="64"/>
      <c r="L220" s="63"/>
      <c r="O220" s="63"/>
    </row>
    <row r="221">
      <c r="A221" s="5"/>
      <c r="E221" s="5"/>
      <c r="F221" s="74"/>
      <c r="G221" s="5"/>
      <c r="K221" s="64"/>
      <c r="L221" s="63"/>
      <c r="O221" s="63"/>
    </row>
    <row r="222">
      <c r="A222" s="5"/>
      <c r="E222" s="5"/>
      <c r="F222" s="74"/>
      <c r="G222" s="5"/>
      <c r="K222" s="64"/>
      <c r="L222" s="63"/>
      <c r="O222" s="63"/>
    </row>
    <row r="223">
      <c r="A223" s="5"/>
      <c r="E223" s="5"/>
      <c r="F223" s="74"/>
      <c r="G223" s="5"/>
      <c r="K223" s="64"/>
      <c r="L223" s="63"/>
      <c r="O223" s="63"/>
    </row>
    <row r="224">
      <c r="A224" s="5"/>
      <c r="E224" s="5"/>
      <c r="F224" s="74"/>
      <c r="G224" s="5"/>
      <c r="K224" s="64"/>
      <c r="L224" s="63"/>
      <c r="O224" s="63"/>
    </row>
    <row r="225">
      <c r="A225" s="5"/>
      <c r="E225" s="5"/>
      <c r="F225" s="74"/>
      <c r="G225" s="5"/>
      <c r="K225" s="64"/>
      <c r="L225" s="63"/>
      <c r="O225" s="63"/>
    </row>
    <row r="226">
      <c r="A226" s="5"/>
      <c r="E226" s="5"/>
      <c r="F226" s="74"/>
      <c r="G226" s="5"/>
      <c r="K226" s="64"/>
      <c r="L226" s="63"/>
      <c r="O226" s="63"/>
    </row>
    <row r="227">
      <c r="A227" s="5"/>
      <c r="E227" s="5"/>
      <c r="F227" s="74"/>
      <c r="G227" s="5"/>
      <c r="K227" s="64"/>
      <c r="L227" s="63"/>
      <c r="O227" s="63"/>
    </row>
    <row r="228">
      <c r="A228" s="5"/>
      <c r="E228" s="5"/>
      <c r="F228" s="74"/>
      <c r="G228" s="5"/>
      <c r="K228" s="64"/>
      <c r="L228" s="63"/>
      <c r="O228" s="63"/>
    </row>
    <row r="229">
      <c r="A229" s="5"/>
      <c r="E229" s="5"/>
      <c r="F229" s="74"/>
      <c r="G229" s="5"/>
      <c r="K229" s="64"/>
      <c r="L229" s="63"/>
      <c r="O229" s="63"/>
    </row>
    <row r="230">
      <c r="A230" s="5"/>
      <c r="E230" s="5"/>
      <c r="F230" s="74"/>
      <c r="G230" s="5"/>
      <c r="K230" s="64"/>
      <c r="L230" s="63"/>
      <c r="O230" s="63"/>
    </row>
    <row r="231">
      <c r="A231" s="5"/>
      <c r="E231" s="5"/>
      <c r="F231" s="74"/>
      <c r="G231" s="5"/>
      <c r="K231" s="64"/>
      <c r="L231" s="63"/>
      <c r="O231" s="63"/>
    </row>
    <row r="232">
      <c r="A232" s="5"/>
      <c r="E232" s="5"/>
      <c r="F232" s="74"/>
      <c r="G232" s="5"/>
      <c r="K232" s="64"/>
      <c r="L232" s="63"/>
      <c r="O232" s="63"/>
    </row>
    <row r="233">
      <c r="A233" s="5"/>
      <c r="E233" s="5"/>
      <c r="F233" s="74"/>
      <c r="G233" s="5"/>
      <c r="K233" s="64"/>
      <c r="L233" s="63"/>
      <c r="O233" s="63"/>
    </row>
    <row r="234">
      <c r="A234" s="5"/>
      <c r="E234" s="5"/>
      <c r="F234" s="74"/>
      <c r="G234" s="5"/>
      <c r="K234" s="64"/>
      <c r="L234" s="63"/>
      <c r="O234" s="63"/>
    </row>
    <row r="235">
      <c r="A235" s="5"/>
      <c r="E235" s="5"/>
      <c r="F235" s="74"/>
      <c r="G235" s="5"/>
      <c r="K235" s="64"/>
      <c r="L235" s="63"/>
      <c r="O235" s="63"/>
    </row>
    <row r="236">
      <c r="A236" s="5"/>
      <c r="E236" s="5"/>
      <c r="F236" s="74"/>
      <c r="G236" s="5"/>
      <c r="K236" s="64"/>
      <c r="L236" s="63"/>
      <c r="O236" s="63"/>
    </row>
    <row r="237">
      <c r="A237" s="5"/>
      <c r="E237" s="5"/>
      <c r="F237" s="74"/>
      <c r="G237" s="5"/>
      <c r="K237" s="64"/>
      <c r="L237" s="63"/>
      <c r="O237" s="63"/>
    </row>
    <row r="238">
      <c r="A238" s="5"/>
      <c r="E238" s="5"/>
      <c r="F238" s="74"/>
      <c r="G238" s="5"/>
      <c r="K238" s="64"/>
      <c r="L238" s="63"/>
      <c r="O238" s="63"/>
    </row>
    <row r="239">
      <c r="A239" s="5"/>
      <c r="E239" s="5"/>
      <c r="F239" s="74"/>
      <c r="G239" s="5"/>
      <c r="K239" s="64"/>
      <c r="L239" s="63"/>
      <c r="O239" s="63"/>
    </row>
    <row r="240">
      <c r="A240" s="5"/>
      <c r="E240" s="5"/>
      <c r="F240" s="74"/>
      <c r="G240" s="5"/>
      <c r="K240" s="64"/>
      <c r="L240" s="63"/>
      <c r="O240" s="63"/>
    </row>
    <row r="241">
      <c r="A241" s="5"/>
      <c r="E241" s="5"/>
      <c r="F241" s="74"/>
      <c r="G241" s="5"/>
      <c r="K241" s="64"/>
      <c r="L241" s="63"/>
      <c r="O241" s="63"/>
    </row>
    <row r="242">
      <c r="A242" s="5"/>
      <c r="E242" s="5"/>
      <c r="F242" s="74"/>
      <c r="G242" s="5"/>
      <c r="K242" s="64"/>
      <c r="L242" s="63"/>
      <c r="O242" s="63"/>
    </row>
    <row r="243">
      <c r="A243" s="5"/>
      <c r="E243" s="5"/>
      <c r="F243" s="74"/>
      <c r="G243" s="5"/>
      <c r="K243" s="64"/>
      <c r="L243" s="63"/>
      <c r="O243" s="63"/>
    </row>
    <row r="244">
      <c r="A244" s="5"/>
      <c r="E244" s="5"/>
      <c r="F244" s="74"/>
      <c r="G244" s="5"/>
      <c r="K244" s="64"/>
      <c r="L244" s="63"/>
      <c r="O244" s="63"/>
    </row>
    <row r="245">
      <c r="A245" s="5"/>
      <c r="E245" s="5"/>
      <c r="F245" s="74"/>
      <c r="G245" s="5"/>
      <c r="K245" s="64"/>
      <c r="L245" s="63"/>
      <c r="O245" s="63"/>
    </row>
    <row r="246">
      <c r="A246" s="5"/>
      <c r="E246" s="5"/>
      <c r="F246" s="74"/>
      <c r="G246" s="5"/>
      <c r="K246" s="64"/>
      <c r="L246" s="63"/>
      <c r="O246" s="63"/>
    </row>
    <row r="247">
      <c r="A247" s="5"/>
      <c r="E247" s="5"/>
      <c r="F247" s="74"/>
      <c r="G247" s="5"/>
      <c r="K247" s="64"/>
      <c r="L247" s="63"/>
      <c r="O247" s="63"/>
    </row>
    <row r="248">
      <c r="A248" s="5"/>
      <c r="E248" s="5"/>
      <c r="F248" s="74"/>
      <c r="G248" s="5"/>
      <c r="K248" s="64"/>
      <c r="L248" s="63"/>
      <c r="O248" s="63"/>
    </row>
    <row r="249">
      <c r="A249" s="5"/>
      <c r="E249" s="5"/>
      <c r="F249" s="74"/>
      <c r="G249" s="5"/>
      <c r="K249" s="64"/>
      <c r="L249" s="63"/>
      <c r="O249" s="63"/>
    </row>
    <row r="250">
      <c r="A250" s="5"/>
      <c r="E250" s="5"/>
      <c r="F250" s="74"/>
      <c r="G250" s="5"/>
      <c r="K250" s="64"/>
      <c r="L250" s="63"/>
      <c r="O250" s="63"/>
    </row>
    <row r="251">
      <c r="A251" s="5"/>
      <c r="E251" s="5"/>
      <c r="F251" s="74"/>
      <c r="G251" s="5"/>
      <c r="K251" s="64"/>
      <c r="L251" s="63"/>
      <c r="O251" s="63"/>
    </row>
    <row r="252">
      <c r="A252" s="5"/>
      <c r="E252" s="5"/>
      <c r="F252" s="74"/>
      <c r="G252" s="5"/>
      <c r="K252" s="64"/>
      <c r="L252" s="63"/>
      <c r="O252" s="63"/>
    </row>
    <row r="253">
      <c r="A253" s="5"/>
      <c r="E253" s="5"/>
      <c r="F253" s="74"/>
      <c r="G253" s="5"/>
      <c r="K253" s="64"/>
      <c r="L253" s="63"/>
      <c r="O253" s="63"/>
    </row>
    <row r="254">
      <c r="A254" s="5"/>
      <c r="E254" s="5"/>
      <c r="F254" s="74"/>
      <c r="G254" s="5"/>
      <c r="K254" s="64"/>
      <c r="L254" s="63"/>
      <c r="O254" s="63"/>
    </row>
    <row r="255">
      <c r="A255" s="5"/>
      <c r="E255" s="5"/>
      <c r="F255" s="74"/>
      <c r="G255" s="5"/>
      <c r="K255" s="64"/>
      <c r="L255" s="63"/>
      <c r="O255" s="63"/>
    </row>
    <row r="256">
      <c r="A256" s="5"/>
      <c r="E256" s="5"/>
      <c r="F256" s="74"/>
      <c r="G256" s="5"/>
      <c r="K256" s="64"/>
      <c r="L256" s="63"/>
      <c r="O256" s="63"/>
    </row>
    <row r="257">
      <c r="A257" s="5"/>
      <c r="E257" s="5"/>
      <c r="F257" s="74"/>
      <c r="G257" s="5"/>
      <c r="K257" s="64"/>
      <c r="L257" s="63"/>
      <c r="O257" s="63"/>
    </row>
    <row r="258">
      <c r="A258" s="5"/>
      <c r="E258" s="5"/>
      <c r="F258" s="74"/>
      <c r="G258" s="5"/>
      <c r="K258" s="64"/>
      <c r="L258" s="63"/>
      <c r="O258" s="63"/>
    </row>
    <row r="259">
      <c r="A259" s="5"/>
      <c r="E259" s="5"/>
      <c r="F259" s="74"/>
      <c r="G259" s="5"/>
      <c r="K259" s="64"/>
      <c r="L259" s="63"/>
      <c r="O259" s="63"/>
    </row>
    <row r="260">
      <c r="A260" s="5"/>
      <c r="E260" s="5"/>
      <c r="F260" s="74"/>
      <c r="G260" s="5"/>
      <c r="K260" s="64"/>
      <c r="L260" s="63"/>
      <c r="O260" s="63"/>
    </row>
    <row r="261">
      <c r="A261" s="5"/>
      <c r="E261" s="5"/>
      <c r="F261" s="74"/>
      <c r="G261" s="5"/>
      <c r="K261" s="64"/>
      <c r="L261" s="63"/>
      <c r="O261" s="63"/>
    </row>
    <row r="262">
      <c r="A262" s="5"/>
      <c r="E262" s="5"/>
      <c r="F262" s="74"/>
      <c r="G262" s="5"/>
      <c r="K262" s="64"/>
      <c r="L262" s="63"/>
      <c r="O262" s="63"/>
    </row>
    <row r="263">
      <c r="A263" s="5"/>
      <c r="E263" s="5"/>
      <c r="F263" s="74"/>
      <c r="G263" s="5"/>
      <c r="K263" s="64"/>
      <c r="L263" s="63"/>
      <c r="O263" s="63"/>
    </row>
    <row r="264">
      <c r="A264" s="5"/>
      <c r="E264" s="5"/>
      <c r="F264" s="74"/>
      <c r="G264" s="5"/>
      <c r="K264" s="64"/>
      <c r="L264" s="63"/>
      <c r="O264" s="63"/>
    </row>
    <row r="265">
      <c r="A265" s="5"/>
      <c r="E265" s="5"/>
      <c r="F265" s="74"/>
      <c r="G265" s="5"/>
      <c r="K265" s="64"/>
      <c r="L265" s="63"/>
      <c r="O265" s="63"/>
    </row>
    <row r="266">
      <c r="A266" s="5"/>
      <c r="E266" s="5"/>
      <c r="F266" s="74"/>
      <c r="G266" s="5"/>
      <c r="K266" s="64"/>
      <c r="L266" s="63"/>
      <c r="O266" s="63"/>
    </row>
    <row r="267">
      <c r="A267" s="5"/>
      <c r="E267" s="5"/>
      <c r="F267" s="74"/>
      <c r="G267" s="5"/>
      <c r="K267" s="64"/>
      <c r="L267" s="63"/>
      <c r="O267" s="63"/>
    </row>
    <row r="268">
      <c r="A268" s="5"/>
      <c r="E268" s="5"/>
      <c r="F268" s="74"/>
      <c r="G268" s="5"/>
      <c r="K268" s="64"/>
      <c r="L268" s="63"/>
      <c r="O268" s="63"/>
    </row>
    <row r="269">
      <c r="A269" s="5"/>
      <c r="E269" s="5"/>
      <c r="F269" s="74"/>
      <c r="G269" s="5"/>
      <c r="K269" s="64"/>
      <c r="L269" s="63"/>
      <c r="O269" s="63"/>
    </row>
    <row r="270">
      <c r="A270" s="5"/>
      <c r="E270" s="5"/>
      <c r="F270" s="74"/>
      <c r="G270" s="5"/>
      <c r="K270" s="64"/>
      <c r="L270" s="63"/>
      <c r="O270" s="63"/>
    </row>
    <row r="271">
      <c r="A271" s="5"/>
      <c r="E271" s="5"/>
      <c r="F271" s="74"/>
      <c r="G271" s="5"/>
      <c r="K271" s="64"/>
      <c r="L271" s="63"/>
      <c r="O271" s="63"/>
    </row>
    <row r="272">
      <c r="A272" s="5"/>
      <c r="E272" s="5"/>
      <c r="F272" s="74"/>
      <c r="G272" s="5"/>
      <c r="K272" s="64"/>
      <c r="L272" s="63"/>
      <c r="O272" s="63"/>
    </row>
    <row r="273">
      <c r="A273" s="5"/>
      <c r="E273" s="5"/>
      <c r="F273" s="74"/>
      <c r="G273" s="5"/>
      <c r="K273" s="64"/>
      <c r="L273" s="63"/>
      <c r="O273" s="63"/>
    </row>
    <row r="274">
      <c r="A274" s="5"/>
      <c r="E274" s="5"/>
      <c r="F274" s="74"/>
      <c r="G274" s="5"/>
      <c r="K274" s="64"/>
      <c r="L274" s="63"/>
      <c r="O274" s="63"/>
    </row>
    <row r="275">
      <c r="A275" s="5"/>
      <c r="E275" s="5"/>
      <c r="F275" s="74"/>
      <c r="G275" s="5"/>
      <c r="K275" s="64"/>
      <c r="L275" s="63"/>
      <c r="O275" s="63"/>
    </row>
    <row r="276">
      <c r="A276" s="5"/>
      <c r="E276" s="5"/>
      <c r="F276" s="74"/>
      <c r="G276" s="5"/>
      <c r="K276" s="64"/>
      <c r="L276" s="63"/>
      <c r="O276" s="63"/>
    </row>
    <row r="277">
      <c r="A277" s="5"/>
      <c r="E277" s="5"/>
      <c r="F277" s="74"/>
      <c r="G277" s="5"/>
      <c r="K277" s="64"/>
      <c r="L277" s="63"/>
      <c r="O277" s="63"/>
    </row>
    <row r="278">
      <c r="A278" s="5"/>
      <c r="E278" s="5"/>
      <c r="F278" s="74"/>
      <c r="G278" s="5"/>
      <c r="K278" s="64"/>
      <c r="L278" s="63"/>
      <c r="O278" s="63"/>
    </row>
    <row r="279">
      <c r="A279" s="5"/>
      <c r="E279" s="5"/>
      <c r="F279" s="74"/>
      <c r="G279" s="5"/>
      <c r="K279" s="64"/>
      <c r="L279" s="63"/>
      <c r="O279" s="63"/>
    </row>
    <row r="280">
      <c r="A280" s="5"/>
      <c r="E280" s="5"/>
      <c r="F280" s="74"/>
      <c r="G280" s="5"/>
      <c r="K280" s="64"/>
      <c r="L280" s="63"/>
      <c r="O280" s="63"/>
    </row>
    <row r="281">
      <c r="A281" s="5"/>
      <c r="E281" s="5"/>
      <c r="F281" s="74"/>
      <c r="G281" s="5"/>
      <c r="K281" s="64"/>
      <c r="L281" s="63"/>
      <c r="O281" s="63"/>
    </row>
    <row r="282">
      <c r="A282" s="5"/>
      <c r="E282" s="5"/>
      <c r="F282" s="74"/>
      <c r="G282" s="5"/>
      <c r="K282" s="64"/>
      <c r="L282" s="63"/>
      <c r="O282" s="63"/>
    </row>
    <row r="283">
      <c r="A283" s="5"/>
      <c r="E283" s="5"/>
      <c r="F283" s="74"/>
      <c r="G283" s="5"/>
      <c r="K283" s="64"/>
      <c r="L283" s="63"/>
      <c r="O283" s="63"/>
    </row>
    <row r="284">
      <c r="A284" s="5"/>
      <c r="E284" s="5"/>
      <c r="F284" s="74"/>
      <c r="G284" s="5"/>
      <c r="K284" s="64"/>
      <c r="L284" s="63"/>
      <c r="O284" s="63"/>
    </row>
    <row r="285">
      <c r="A285" s="5"/>
      <c r="E285" s="5"/>
      <c r="F285" s="74"/>
      <c r="G285" s="5"/>
      <c r="K285" s="64"/>
      <c r="L285" s="63"/>
      <c r="O285" s="63"/>
    </row>
    <row r="286">
      <c r="A286" s="5"/>
      <c r="E286" s="5"/>
      <c r="F286" s="74"/>
      <c r="G286" s="5"/>
      <c r="K286" s="64"/>
      <c r="L286" s="63"/>
      <c r="O286" s="63"/>
    </row>
    <row r="287">
      <c r="A287" s="5"/>
      <c r="E287" s="5"/>
      <c r="F287" s="74"/>
      <c r="G287" s="5"/>
      <c r="K287" s="64"/>
      <c r="L287" s="63"/>
      <c r="O287" s="63"/>
    </row>
    <row r="288">
      <c r="A288" s="5"/>
      <c r="E288" s="5"/>
      <c r="F288" s="74"/>
      <c r="G288" s="5"/>
      <c r="K288" s="64"/>
      <c r="L288" s="63"/>
      <c r="O288" s="63"/>
    </row>
    <row r="289">
      <c r="A289" s="5"/>
      <c r="E289" s="5"/>
      <c r="F289" s="74"/>
      <c r="G289" s="5"/>
      <c r="K289" s="64"/>
      <c r="L289" s="63"/>
      <c r="O289" s="63"/>
    </row>
    <row r="290">
      <c r="A290" s="5"/>
      <c r="E290" s="5"/>
      <c r="F290" s="74"/>
      <c r="G290" s="5"/>
      <c r="K290" s="64"/>
      <c r="L290" s="63"/>
      <c r="O290" s="63"/>
    </row>
    <row r="291">
      <c r="A291" s="5"/>
      <c r="E291" s="5"/>
      <c r="F291" s="74"/>
      <c r="G291" s="5"/>
      <c r="K291" s="64"/>
      <c r="L291" s="63"/>
      <c r="O291" s="63"/>
    </row>
    <row r="292">
      <c r="A292" s="5"/>
      <c r="E292" s="5"/>
      <c r="F292" s="74"/>
      <c r="G292" s="5"/>
      <c r="K292" s="64"/>
      <c r="L292" s="63"/>
      <c r="O292" s="63"/>
    </row>
    <row r="293">
      <c r="A293" s="5"/>
      <c r="E293" s="5"/>
      <c r="F293" s="74"/>
      <c r="G293" s="5"/>
      <c r="K293" s="64"/>
      <c r="L293" s="63"/>
      <c r="O293" s="63"/>
    </row>
    <row r="294">
      <c r="A294" s="5"/>
      <c r="E294" s="5"/>
      <c r="F294" s="74"/>
      <c r="G294" s="5"/>
      <c r="K294" s="64"/>
      <c r="L294" s="63"/>
      <c r="O294" s="63"/>
    </row>
    <row r="295">
      <c r="A295" s="5"/>
      <c r="E295" s="5"/>
      <c r="F295" s="74"/>
      <c r="G295" s="5"/>
      <c r="K295" s="64"/>
      <c r="L295" s="63"/>
      <c r="O295" s="63"/>
    </row>
    <row r="296">
      <c r="A296" s="5"/>
      <c r="E296" s="5"/>
      <c r="F296" s="74"/>
      <c r="G296" s="5"/>
      <c r="K296" s="64"/>
      <c r="L296" s="63"/>
      <c r="O296" s="63"/>
    </row>
    <row r="297">
      <c r="A297" s="5"/>
      <c r="E297" s="5"/>
      <c r="F297" s="74"/>
      <c r="G297" s="5"/>
      <c r="K297" s="64"/>
      <c r="L297" s="63"/>
      <c r="O297" s="63"/>
    </row>
    <row r="298">
      <c r="A298" s="5"/>
      <c r="E298" s="5"/>
      <c r="F298" s="74"/>
      <c r="G298" s="5"/>
      <c r="K298" s="64"/>
      <c r="L298" s="63"/>
      <c r="O298" s="63"/>
    </row>
    <row r="299">
      <c r="A299" s="5"/>
      <c r="E299" s="5"/>
      <c r="F299" s="74"/>
      <c r="G299" s="5"/>
      <c r="K299" s="64"/>
      <c r="L299" s="63"/>
      <c r="O299" s="63"/>
    </row>
    <row r="300">
      <c r="A300" s="5"/>
      <c r="E300" s="5"/>
      <c r="F300" s="74"/>
      <c r="G300" s="5"/>
      <c r="K300" s="64"/>
      <c r="L300" s="63"/>
      <c r="O300" s="63"/>
    </row>
    <row r="301">
      <c r="A301" s="5"/>
      <c r="E301" s="5"/>
      <c r="F301" s="74"/>
      <c r="G301" s="5"/>
      <c r="K301" s="64"/>
      <c r="L301" s="63"/>
      <c r="O301" s="63"/>
    </row>
    <row r="302">
      <c r="A302" s="5"/>
      <c r="E302" s="5"/>
      <c r="F302" s="74"/>
      <c r="G302" s="5"/>
      <c r="K302" s="64"/>
      <c r="L302" s="63"/>
      <c r="O302" s="63"/>
    </row>
    <row r="303">
      <c r="A303" s="5"/>
      <c r="E303" s="5"/>
      <c r="F303" s="74"/>
      <c r="G303" s="5"/>
      <c r="K303" s="64"/>
      <c r="L303" s="63"/>
      <c r="O303" s="63"/>
    </row>
    <row r="304">
      <c r="A304" s="5"/>
      <c r="E304" s="5"/>
      <c r="F304" s="74"/>
      <c r="G304" s="5"/>
      <c r="K304" s="64"/>
      <c r="L304" s="63"/>
      <c r="O304" s="63"/>
    </row>
    <row r="305">
      <c r="A305" s="5"/>
      <c r="E305" s="5"/>
      <c r="F305" s="74"/>
      <c r="G305" s="5"/>
      <c r="K305" s="64"/>
      <c r="L305" s="63"/>
      <c r="O305" s="63"/>
    </row>
    <row r="306">
      <c r="A306" s="5"/>
      <c r="E306" s="5"/>
      <c r="F306" s="74"/>
      <c r="G306" s="5"/>
      <c r="K306" s="64"/>
      <c r="L306" s="63"/>
      <c r="O306" s="63"/>
    </row>
    <row r="307">
      <c r="A307" s="5"/>
      <c r="E307" s="5"/>
      <c r="F307" s="74"/>
      <c r="G307" s="5"/>
      <c r="K307" s="64"/>
      <c r="L307" s="63"/>
      <c r="O307" s="63"/>
    </row>
    <row r="308">
      <c r="A308" s="5"/>
      <c r="E308" s="5"/>
      <c r="F308" s="74"/>
      <c r="G308" s="5"/>
      <c r="K308" s="64"/>
      <c r="L308" s="63"/>
      <c r="O308" s="63"/>
    </row>
    <row r="309">
      <c r="A309" s="5"/>
      <c r="E309" s="5"/>
      <c r="F309" s="74"/>
      <c r="G309" s="5"/>
      <c r="K309" s="64"/>
      <c r="L309" s="63"/>
      <c r="O309" s="63"/>
    </row>
    <row r="310">
      <c r="A310" s="5"/>
      <c r="E310" s="5"/>
      <c r="F310" s="74"/>
      <c r="G310" s="5"/>
      <c r="K310" s="64"/>
      <c r="L310" s="63"/>
      <c r="O310" s="63"/>
    </row>
    <row r="311">
      <c r="A311" s="5"/>
      <c r="E311" s="5"/>
      <c r="F311" s="74"/>
      <c r="G311" s="5"/>
      <c r="K311" s="64"/>
      <c r="L311" s="63"/>
      <c r="O311" s="63"/>
    </row>
    <row r="312">
      <c r="A312" s="5"/>
      <c r="E312" s="5"/>
      <c r="F312" s="74"/>
      <c r="G312" s="5"/>
      <c r="K312" s="64"/>
      <c r="L312" s="63"/>
      <c r="O312" s="63"/>
    </row>
    <row r="313">
      <c r="A313" s="5"/>
      <c r="E313" s="5"/>
      <c r="F313" s="74"/>
      <c r="G313" s="5"/>
      <c r="K313" s="64"/>
      <c r="L313" s="63"/>
      <c r="O313" s="63"/>
    </row>
    <row r="314">
      <c r="A314" s="5"/>
      <c r="E314" s="5"/>
      <c r="F314" s="74"/>
      <c r="G314" s="5"/>
      <c r="K314" s="64"/>
      <c r="L314" s="63"/>
      <c r="O314" s="63"/>
    </row>
    <row r="315">
      <c r="A315" s="5"/>
      <c r="E315" s="5"/>
      <c r="F315" s="74"/>
      <c r="G315" s="5"/>
      <c r="K315" s="64"/>
      <c r="L315" s="63"/>
      <c r="O315" s="63"/>
    </row>
    <row r="316">
      <c r="A316" s="5"/>
      <c r="E316" s="5"/>
      <c r="F316" s="74"/>
      <c r="G316" s="5"/>
      <c r="K316" s="64"/>
      <c r="L316" s="63"/>
      <c r="O316" s="63"/>
    </row>
    <row r="317">
      <c r="A317" s="5"/>
      <c r="E317" s="5"/>
      <c r="F317" s="74"/>
      <c r="G317" s="5"/>
      <c r="K317" s="64"/>
      <c r="L317" s="63"/>
      <c r="O317" s="63"/>
    </row>
    <row r="318">
      <c r="A318" s="5"/>
      <c r="E318" s="5"/>
      <c r="F318" s="74"/>
      <c r="G318" s="5"/>
      <c r="K318" s="64"/>
      <c r="L318" s="63"/>
      <c r="O318" s="63"/>
    </row>
    <row r="319">
      <c r="A319" s="5"/>
      <c r="E319" s="5"/>
      <c r="F319" s="74"/>
      <c r="G319" s="5"/>
      <c r="K319" s="64"/>
      <c r="L319" s="63"/>
      <c r="O319" s="63"/>
    </row>
    <row r="320">
      <c r="A320" s="5"/>
      <c r="E320" s="5"/>
      <c r="F320" s="74"/>
      <c r="G320" s="5"/>
      <c r="K320" s="64"/>
      <c r="L320" s="63"/>
      <c r="O320" s="63"/>
    </row>
    <row r="321">
      <c r="A321" s="5"/>
      <c r="E321" s="5"/>
      <c r="F321" s="74"/>
      <c r="G321" s="5"/>
      <c r="K321" s="64"/>
      <c r="L321" s="63"/>
      <c r="O321" s="63"/>
    </row>
    <row r="322">
      <c r="A322" s="5"/>
      <c r="E322" s="5"/>
      <c r="F322" s="74"/>
      <c r="G322" s="5"/>
      <c r="K322" s="64"/>
      <c r="L322" s="63"/>
      <c r="O322" s="63"/>
    </row>
    <row r="323">
      <c r="A323" s="5"/>
      <c r="E323" s="5"/>
      <c r="F323" s="74"/>
      <c r="G323" s="5"/>
      <c r="K323" s="64"/>
      <c r="L323" s="63"/>
      <c r="O323" s="63"/>
    </row>
    <row r="324">
      <c r="A324" s="5"/>
      <c r="E324" s="5"/>
      <c r="F324" s="74"/>
      <c r="G324" s="5"/>
      <c r="K324" s="64"/>
      <c r="L324" s="63"/>
      <c r="O324" s="63"/>
    </row>
    <row r="325">
      <c r="A325" s="5"/>
      <c r="E325" s="5"/>
      <c r="F325" s="74"/>
      <c r="G325" s="5"/>
      <c r="K325" s="64"/>
      <c r="L325" s="63"/>
      <c r="O325" s="63"/>
    </row>
    <row r="326">
      <c r="A326" s="5"/>
      <c r="E326" s="5"/>
      <c r="F326" s="74"/>
      <c r="G326" s="5"/>
      <c r="K326" s="64"/>
      <c r="L326" s="63"/>
      <c r="O326" s="63"/>
    </row>
    <row r="327">
      <c r="A327" s="5"/>
      <c r="E327" s="5"/>
      <c r="F327" s="74"/>
      <c r="G327" s="5"/>
      <c r="K327" s="64"/>
      <c r="L327" s="63"/>
      <c r="O327" s="63"/>
    </row>
    <row r="328">
      <c r="A328" s="5"/>
      <c r="E328" s="5"/>
      <c r="F328" s="74"/>
      <c r="G328" s="5"/>
      <c r="K328" s="64"/>
      <c r="L328" s="63"/>
      <c r="O328" s="63"/>
    </row>
    <row r="329">
      <c r="A329" s="5"/>
      <c r="E329" s="5"/>
      <c r="F329" s="74"/>
      <c r="G329" s="5"/>
      <c r="K329" s="64"/>
      <c r="L329" s="63"/>
      <c r="O329" s="63"/>
    </row>
    <row r="330">
      <c r="A330" s="5"/>
      <c r="E330" s="5"/>
      <c r="F330" s="74"/>
      <c r="G330" s="5"/>
      <c r="K330" s="64"/>
      <c r="L330" s="63"/>
      <c r="O330" s="63"/>
    </row>
    <row r="331">
      <c r="A331" s="5"/>
      <c r="E331" s="5"/>
      <c r="F331" s="74"/>
      <c r="G331" s="5"/>
      <c r="K331" s="64"/>
      <c r="L331" s="63"/>
      <c r="O331" s="63"/>
    </row>
    <row r="332">
      <c r="A332" s="5"/>
      <c r="E332" s="5"/>
      <c r="F332" s="74"/>
      <c r="G332" s="5"/>
      <c r="K332" s="64"/>
      <c r="L332" s="63"/>
      <c r="O332" s="63"/>
    </row>
    <row r="333">
      <c r="A333" s="5"/>
      <c r="E333" s="5"/>
      <c r="F333" s="74"/>
      <c r="G333" s="5"/>
      <c r="K333" s="64"/>
      <c r="L333" s="63"/>
      <c r="O333" s="63"/>
    </row>
    <row r="334">
      <c r="A334" s="5"/>
      <c r="E334" s="5"/>
      <c r="F334" s="74"/>
      <c r="G334" s="5"/>
      <c r="K334" s="64"/>
      <c r="L334" s="63"/>
      <c r="O334" s="63"/>
    </row>
    <row r="335">
      <c r="A335" s="5"/>
      <c r="E335" s="5"/>
      <c r="F335" s="74"/>
      <c r="G335" s="5"/>
      <c r="K335" s="64"/>
      <c r="L335" s="63"/>
      <c r="O335" s="63"/>
    </row>
    <row r="336">
      <c r="A336" s="5"/>
      <c r="E336" s="5"/>
      <c r="F336" s="74"/>
      <c r="G336" s="5"/>
      <c r="K336" s="64"/>
      <c r="L336" s="63"/>
      <c r="O336" s="63"/>
    </row>
    <row r="337">
      <c r="A337" s="5"/>
      <c r="E337" s="5"/>
      <c r="F337" s="74"/>
      <c r="G337" s="5"/>
      <c r="K337" s="64"/>
      <c r="L337" s="63"/>
      <c r="O337" s="63"/>
    </row>
    <row r="338">
      <c r="A338" s="5"/>
      <c r="E338" s="5"/>
      <c r="F338" s="74"/>
      <c r="G338" s="5"/>
      <c r="K338" s="64"/>
      <c r="L338" s="63"/>
      <c r="O338" s="63"/>
    </row>
    <row r="339">
      <c r="A339" s="5"/>
      <c r="E339" s="5"/>
      <c r="F339" s="74"/>
      <c r="G339" s="5"/>
      <c r="K339" s="64"/>
      <c r="L339" s="63"/>
      <c r="O339" s="63"/>
    </row>
    <row r="340">
      <c r="A340" s="5"/>
      <c r="E340" s="5"/>
      <c r="F340" s="74"/>
      <c r="G340" s="5"/>
      <c r="K340" s="64"/>
      <c r="L340" s="63"/>
      <c r="O340" s="63"/>
    </row>
    <row r="341">
      <c r="A341" s="5"/>
      <c r="E341" s="5"/>
      <c r="F341" s="74"/>
      <c r="G341" s="5"/>
      <c r="K341" s="64"/>
      <c r="L341" s="63"/>
      <c r="O341" s="63"/>
    </row>
    <row r="342">
      <c r="A342" s="5"/>
      <c r="E342" s="5"/>
      <c r="F342" s="74"/>
      <c r="G342" s="5"/>
      <c r="K342" s="64"/>
      <c r="L342" s="63"/>
      <c r="O342" s="63"/>
    </row>
    <row r="343">
      <c r="A343" s="5"/>
      <c r="E343" s="5"/>
      <c r="F343" s="74"/>
      <c r="G343" s="5"/>
      <c r="K343" s="64"/>
      <c r="L343" s="63"/>
      <c r="O343" s="63"/>
    </row>
    <row r="344">
      <c r="A344" s="5"/>
      <c r="E344" s="5"/>
      <c r="F344" s="74"/>
      <c r="G344" s="5"/>
      <c r="K344" s="64"/>
      <c r="L344" s="63"/>
      <c r="O344" s="63"/>
    </row>
    <row r="345">
      <c r="A345" s="5"/>
      <c r="E345" s="5"/>
      <c r="F345" s="74"/>
      <c r="G345" s="5"/>
      <c r="K345" s="64"/>
      <c r="L345" s="63"/>
      <c r="O345" s="63"/>
    </row>
    <row r="346">
      <c r="A346" s="5"/>
      <c r="E346" s="5"/>
      <c r="F346" s="74"/>
      <c r="G346" s="5"/>
      <c r="K346" s="64"/>
      <c r="L346" s="63"/>
      <c r="O346" s="63"/>
    </row>
    <row r="347">
      <c r="A347" s="5"/>
      <c r="E347" s="5"/>
      <c r="F347" s="74"/>
      <c r="G347" s="5"/>
      <c r="K347" s="64"/>
      <c r="L347" s="63"/>
      <c r="O347" s="63"/>
    </row>
    <row r="348">
      <c r="A348" s="5"/>
      <c r="E348" s="5"/>
      <c r="F348" s="74"/>
      <c r="G348" s="5"/>
      <c r="K348" s="64"/>
      <c r="L348" s="63"/>
      <c r="O348" s="63"/>
    </row>
    <row r="349">
      <c r="A349" s="5"/>
      <c r="E349" s="5"/>
      <c r="F349" s="74"/>
      <c r="G349" s="5"/>
      <c r="K349" s="64"/>
      <c r="L349" s="63"/>
      <c r="O349" s="63"/>
    </row>
    <row r="350">
      <c r="A350" s="5"/>
      <c r="E350" s="5"/>
      <c r="F350" s="74"/>
      <c r="G350" s="5"/>
      <c r="K350" s="64"/>
      <c r="L350" s="63"/>
      <c r="O350" s="63"/>
    </row>
    <row r="351">
      <c r="A351" s="5"/>
      <c r="E351" s="5"/>
      <c r="F351" s="74"/>
      <c r="G351" s="5"/>
      <c r="K351" s="64"/>
      <c r="L351" s="63"/>
      <c r="O351" s="63"/>
    </row>
    <row r="352">
      <c r="A352" s="5"/>
      <c r="E352" s="5"/>
      <c r="F352" s="74"/>
      <c r="G352" s="5"/>
      <c r="K352" s="64"/>
      <c r="L352" s="63"/>
      <c r="O352" s="63"/>
    </row>
    <row r="353">
      <c r="A353" s="5"/>
      <c r="E353" s="5"/>
      <c r="F353" s="74"/>
      <c r="G353" s="5"/>
      <c r="K353" s="64"/>
      <c r="L353" s="63"/>
      <c r="O353" s="63"/>
    </row>
    <row r="354">
      <c r="A354" s="5"/>
      <c r="E354" s="5"/>
      <c r="F354" s="74"/>
      <c r="G354" s="5"/>
      <c r="K354" s="64"/>
      <c r="L354" s="63"/>
      <c r="O354" s="63"/>
    </row>
    <row r="355">
      <c r="A355" s="5"/>
      <c r="E355" s="5"/>
      <c r="F355" s="74"/>
      <c r="G355" s="5"/>
      <c r="K355" s="64"/>
      <c r="L355" s="63"/>
      <c r="O355" s="63"/>
    </row>
    <row r="356">
      <c r="A356" s="5"/>
      <c r="E356" s="5"/>
      <c r="F356" s="74"/>
      <c r="G356" s="5"/>
      <c r="K356" s="64"/>
      <c r="L356" s="63"/>
      <c r="O356" s="63"/>
    </row>
    <row r="357">
      <c r="A357" s="5"/>
      <c r="E357" s="5"/>
      <c r="F357" s="74"/>
      <c r="G357" s="5"/>
      <c r="K357" s="64"/>
      <c r="L357" s="63"/>
      <c r="O357" s="63"/>
    </row>
    <row r="358">
      <c r="A358" s="5"/>
      <c r="E358" s="5"/>
      <c r="F358" s="74"/>
      <c r="G358" s="5"/>
      <c r="K358" s="64"/>
      <c r="L358" s="63"/>
      <c r="O358" s="63"/>
    </row>
    <row r="359">
      <c r="A359" s="5"/>
      <c r="E359" s="5"/>
      <c r="F359" s="74"/>
      <c r="G359" s="5"/>
      <c r="K359" s="64"/>
      <c r="L359" s="63"/>
      <c r="O359" s="63"/>
    </row>
    <row r="360">
      <c r="A360" s="5"/>
      <c r="E360" s="5"/>
      <c r="F360" s="74"/>
      <c r="G360" s="5"/>
      <c r="K360" s="64"/>
      <c r="L360" s="63"/>
      <c r="O360" s="63"/>
    </row>
    <row r="361">
      <c r="A361" s="5"/>
      <c r="E361" s="5"/>
      <c r="F361" s="74"/>
      <c r="G361" s="5"/>
      <c r="K361" s="64"/>
      <c r="L361" s="63"/>
      <c r="O361" s="63"/>
    </row>
    <row r="362">
      <c r="A362" s="5"/>
      <c r="E362" s="5"/>
      <c r="F362" s="74"/>
      <c r="G362" s="5"/>
      <c r="K362" s="64"/>
      <c r="L362" s="63"/>
      <c r="O362" s="63"/>
    </row>
    <row r="363">
      <c r="A363" s="5"/>
      <c r="E363" s="5"/>
      <c r="F363" s="74"/>
      <c r="G363" s="5"/>
      <c r="K363" s="64"/>
      <c r="L363" s="63"/>
      <c r="O363" s="63"/>
    </row>
    <row r="364">
      <c r="A364" s="5"/>
      <c r="E364" s="5"/>
      <c r="F364" s="74"/>
      <c r="G364" s="5"/>
      <c r="K364" s="64"/>
      <c r="L364" s="63"/>
      <c r="O364" s="63"/>
    </row>
    <row r="365">
      <c r="A365" s="5"/>
      <c r="E365" s="5"/>
      <c r="F365" s="74"/>
      <c r="G365" s="5"/>
      <c r="K365" s="64"/>
      <c r="L365" s="63"/>
      <c r="O365" s="63"/>
    </row>
    <row r="366">
      <c r="A366" s="5"/>
      <c r="E366" s="5"/>
      <c r="F366" s="74"/>
      <c r="G366" s="5"/>
      <c r="K366" s="64"/>
      <c r="L366" s="63"/>
      <c r="O366" s="63"/>
    </row>
    <row r="367">
      <c r="A367" s="5"/>
      <c r="E367" s="5"/>
      <c r="F367" s="74"/>
      <c r="G367" s="5"/>
      <c r="K367" s="64"/>
      <c r="L367" s="63"/>
      <c r="O367" s="63"/>
    </row>
    <row r="368">
      <c r="A368" s="5"/>
      <c r="E368" s="5"/>
      <c r="F368" s="74"/>
      <c r="G368" s="5"/>
      <c r="K368" s="64"/>
      <c r="L368" s="63"/>
      <c r="O368" s="63"/>
    </row>
    <row r="369">
      <c r="A369" s="5"/>
      <c r="E369" s="5"/>
      <c r="F369" s="74"/>
      <c r="G369" s="5"/>
      <c r="K369" s="64"/>
      <c r="L369" s="63"/>
      <c r="O369" s="63"/>
    </row>
    <row r="370">
      <c r="A370" s="5"/>
      <c r="E370" s="5"/>
      <c r="F370" s="74"/>
      <c r="G370" s="5"/>
      <c r="K370" s="64"/>
      <c r="L370" s="63"/>
      <c r="O370" s="63"/>
    </row>
    <row r="371">
      <c r="A371" s="5"/>
      <c r="E371" s="5"/>
      <c r="F371" s="74"/>
      <c r="G371" s="5"/>
      <c r="K371" s="64"/>
      <c r="L371" s="63"/>
      <c r="O371" s="63"/>
    </row>
    <row r="372">
      <c r="A372" s="5"/>
      <c r="E372" s="5"/>
      <c r="F372" s="74"/>
      <c r="G372" s="5"/>
      <c r="K372" s="64"/>
      <c r="L372" s="63"/>
      <c r="O372" s="63"/>
    </row>
    <row r="373">
      <c r="A373" s="5"/>
      <c r="E373" s="5"/>
      <c r="F373" s="74"/>
      <c r="G373" s="5"/>
      <c r="K373" s="64"/>
      <c r="L373" s="63"/>
      <c r="O373" s="63"/>
    </row>
    <row r="374">
      <c r="A374" s="5"/>
      <c r="E374" s="5"/>
      <c r="F374" s="74"/>
      <c r="G374" s="5"/>
      <c r="K374" s="64"/>
      <c r="L374" s="63"/>
      <c r="O374" s="63"/>
    </row>
    <row r="375">
      <c r="A375" s="5"/>
      <c r="E375" s="5"/>
      <c r="F375" s="74"/>
      <c r="G375" s="5"/>
      <c r="K375" s="64"/>
      <c r="L375" s="63"/>
      <c r="O375" s="63"/>
    </row>
    <row r="376">
      <c r="A376" s="5"/>
      <c r="E376" s="5"/>
      <c r="F376" s="74"/>
      <c r="G376" s="5"/>
      <c r="K376" s="64"/>
      <c r="L376" s="63"/>
      <c r="O376" s="63"/>
    </row>
    <row r="377">
      <c r="A377" s="5"/>
      <c r="E377" s="5"/>
      <c r="F377" s="74"/>
      <c r="G377" s="5"/>
      <c r="K377" s="64"/>
      <c r="L377" s="63"/>
      <c r="O377" s="63"/>
    </row>
    <row r="378">
      <c r="A378" s="5"/>
      <c r="E378" s="5"/>
      <c r="F378" s="74"/>
      <c r="G378" s="5"/>
      <c r="K378" s="64"/>
      <c r="L378" s="63"/>
      <c r="O378" s="63"/>
    </row>
    <row r="379">
      <c r="A379" s="5"/>
      <c r="E379" s="5"/>
      <c r="F379" s="74"/>
      <c r="G379" s="5"/>
      <c r="K379" s="64"/>
      <c r="L379" s="63"/>
      <c r="O379" s="63"/>
    </row>
    <row r="380">
      <c r="A380" s="5"/>
      <c r="E380" s="5"/>
      <c r="F380" s="74"/>
      <c r="G380" s="5"/>
      <c r="K380" s="64"/>
      <c r="L380" s="63"/>
      <c r="O380" s="63"/>
    </row>
    <row r="381">
      <c r="A381" s="5"/>
      <c r="E381" s="5"/>
      <c r="F381" s="74"/>
      <c r="G381" s="5"/>
      <c r="K381" s="64"/>
      <c r="L381" s="63"/>
      <c r="O381" s="63"/>
    </row>
    <row r="382">
      <c r="A382" s="5"/>
      <c r="E382" s="5"/>
      <c r="F382" s="74"/>
      <c r="G382" s="5"/>
      <c r="K382" s="64"/>
      <c r="L382" s="63"/>
      <c r="O382" s="63"/>
    </row>
    <row r="383">
      <c r="A383" s="5"/>
      <c r="E383" s="5"/>
      <c r="F383" s="74"/>
      <c r="G383" s="5"/>
      <c r="K383" s="64"/>
      <c r="L383" s="63"/>
      <c r="O383" s="63"/>
    </row>
    <row r="384">
      <c r="A384" s="5"/>
      <c r="E384" s="5"/>
      <c r="F384" s="74"/>
      <c r="G384" s="5"/>
      <c r="K384" s="64"/>
      <c r="L384" s="63"/>
      <c r="O384" s="63"/>
    </row>
    <row r="385">
      <c r="A385" s="5"/>
      <c r="E385" s="5"/>
      <c r="F385" s="74"/>
      <c r="G385" s="5"/>
      <c r="K385" s="64"/>
      <c r="L385" s="63"/>
      <c r="O385" s="63"/>
    </row>
    <row r="386">
      <c r="A386" s="5"/>
      <c r="E386" s="5"/>
      <c r="F386" s="74"/>
      <c r="G386" s="5"/>
      <c r="K386" s="64"/>
      <c r="L386" s="63"/>
      <c r="O386" s="63"/>
    </row>
    <row r="387">
      <c r="A387" s="5"/>
      <c r="E387" s="5"/>
      <c r="F387" s="74"/>
      <c r="G387" s="5"/>
      <c r="K387" s="64"/>
      <c r="L387" s="63"/>
      <c r="O387" s="63"/>
    </row>
    <row r="388">
      <c r="A388" s="5"/>
      <c r="E388" s="5"/>
      <c r="F388" s="74"/>
      <c r="G388" s="5"/>
      <c r="K388" s="64"/>
      <c r="L388" s="63"/>
      <c r="O388" s="63"/>
    </row>
    <row r="389">
      <c r="A389" s="5"/>
      <c r="E389" s="5"/>
      <c r="F389" s="74"/>
      <c r="G389" s="5"/>
      <c r="K389" s="64"/>
      <c r="L389" s="63"/>
      <c r="O389" s="63"/>
    </row>
    <row r="390">
      <c r="A390" s="5"/>
      <c r="E390" s="5"/>
      <c r="F390" s="74"/>
      <c r="G390" s="5"/>
      <c r="K390" s="64"/>
      <c r="L390" s="63"/>
      <c r="O390" s="63"/>
    </row>
    <row r="391">
      <c r="A391" s="5"/>
      <c r="E391" s="5"/>
      <c r="F391" s="74"/>
      <c r="G391" s="5"/>
      <c r="K391" s="64"/>
      <c r="L391" s="63"/>
      <c r="O391" s="63"/>
    </row>
    <row r="392">
      <c r="A392" s="5"/>
      <c r="E392" s="5"/>
      <c r="F392" s="74"/>
      <c r="G392" s="5"/>
      <c r="K392" s="64"/>
      <c r="L392" s="63"/>
      <c r="O392" s="63"/>
    </row>
    <row r="393">
      <c r="A393" s="5"/>
      <c r="E393" s="5"/>
      <c r="F393" s="74"/>
      <c r="G393" s="5"/>
      <c r="K393" s="64"/>
      <c r="L393" s="63"/>
      <c r="O393" s="63"/>
    </row>
    <row r="394">
      <c r="A394" s="5"/>
      <c r="E394" s="5"/>
      <c r="F394" s="74"/>
      <c r="G394" s="5"/>
      <c r="K394" s="64"/>
      <c r="L394" s="63"/>
      <c r="O394" s="63"/>
    </row>
    <row r="395">
      <c r="A395" s="5"/>
      <c r="E395" s="5"/>
      <c r="F395" s="74"/>
      <c r="G395" s="5"/>
      <c r="K395" s="64"/>
      <c r="L395" s="63"/>
      <c r="O395" s="63"/>
    </row>
    <row r="396">
      <c r="A396" s="5"/>
      <c r="E396" s="5"/>
      <c r="F396" s="74"/>
      <c r="G396" s="5"/>
      <c r="K396" s="64"/>
      <c r="L396" s="63"/>
      <c r="O396" s="63"/>
    </row>
    <row r="397">
      <c r="A397" s="5"/>
      <c r="E397" s="5"/>
      <c r="F397" s="74"/>
      <c r="G397" s="5"/>
      <c r="K397" s="64"/>
      <c r="L397" s="63"/>
      <c r="O397" s="63"/>
    </row>
    <row r="398">
      <c r="A398" s="5"/>
      <c r="E398" s="5"/>
      <c r="F398" s="74"/>
      <c r="G398" s="5"/>
      <c r="K398" s="64"/>
      <c r="L398" s="63"/>
      <c r="O398" s="63"/>
    </row>
    <row r="399">
      <c r="A399" s="5"/>
      <c r="E399" s="5"/>
      <c r="F399" s="74"/>
      <c r="G399" s="5"/>
      <c r="K399" s="64"/>
      <c r="L399" s="63"/>
      <c r="O399" s="63"/>
    </row>
    <row r="400">
      <c r="A400" s="5"/>
      <c r="E400" s="5"/>
      <c r="F400" s="74"/>
      <c r="G400" s="5"/>
      <c r="K400" s="64"/>
      <c r="L400" s="63"/>
      <c r="O400" s="63"/>
    </row>
    <row r="401">
      <c r="A401" s="5"/>
      <c r="E401" s="5"/>
      <c r="F401" s="74"/>
      <c r="G401" s="5"/>
      <c r="K401" s="64"/>
      <c r="L401" s="63"/>
      <c r="O401" s="63"/>
    </row>
    <row r="402">
      <c r="A402" s="5"/>
      <c r="E402" s="5"/>
      <c r="F402" s="74"/>
      <c r="G402" s="5"/>
      <c r="K402" s="64"/>
      <c r="L402" s="63"/>
      <c r="O402" s="63"/>
    </row>
    <row r="403">
      <c r="A403" s="5"/>
      <c r="E403" s="5"/>
      <c r="F403" s="74"/>
      <c r="G403" s="5"/>
      <c r="K403" s="64"/>
      <c r="L403" s="63"/>
      <c r="O403" s="63"/>
    </row>
    <row r="404">
      <c r="A404" s="5"/>
      <c r="E404" s="5"/>
      <c r="F404" s="74"/>
      <c r="G404" s="5"/>
      <c r="K404" s="64"/>
      <c r="L404" s="63"/>
      <c r="O404" s="63"/>
    </row>
    <row r="405">
      <c r="A405" s="5"/>
      <c r="E405" s="5"/>
      <c r="F405" s="74"/>
      <c r="G405" s="5"/>
      <c r="K405" s="64"/>
      <c r="L405" s="63"/>
      <c r="O405" s="63"/>
    </row>
    <row r="406">
      <c r="A406" s="5"/>
      <c r="E406" s="5"/>
      <c r="F406" s="74"/>
      <c r="G406" s="5"/>
      <c r="K406" s="64"/>
      <c r="L406" s="63"/>
      <c r="O406" s="63"/>
    </row>
    <row r="407">
      <c r="A407" s="5"/>
      <c r="E407" s="5"/>
      <c r="F407" s="74"/>
      <c r="G407" s="5"/>
      <c r="K407" s="64"/>
      <c r="L407" s="63"/>
      <c r="O407" s="63"/>
    </row>
    <row r="408">
      <c r="A408" s="5"/>
      <c r="E408" s="5"/>
      <c r="F408" s="74"/>
      <c r="G408" s="5"/>
      <c r="K408" s="64"/>
      <c r="L408" s="63"/>
      <c r="O408" s="63"/>
    </row>
    <row r="409">
      <c r="A409" s="5"/>
      <c r="E409" s="5"/>
      <c r="F409" s="74"/>
      <c r="G409" s="5"/>
      <c r="K409" s="64"/>
      <c r="L409" s="63"/>
      <c r="O409" s="63"/>
    </row>
    <row r="410">
      <c r="A410" s="5"/>
      <c r="E410" s="5"/>
      <c r="F410" s="74"/>
      <c r="G410" s="5"/>
      <c r="K410" s="64"/>
      <c r="L410" s="63"/>
      <c r="O410" s="63"/>
    </row>
    <row r="411">
      <c r="A411" s="5"/>
      <c r="E411" s="5"/>
      <c r="F411" s="74"/>
      <c r="G411" s="5"/>
      <c r="K411" s="64"/>
      <c r="L411" s="63"/>
      <c r="O411" s="63"/>
    </row>
    <row r="412">
      <c r="A412" s="5"/>
      <c r="E412" s="5"/>
      <c r="F412" s="74"/>
      <c r="G412" s="5"/>
      <c r="K412" s="64"/>
      <c r="L412" s="63"/>
      <c r="O412" s="63"/>
    </row>
    <row r="413">
      <c r="A413" s="5"/>
      <c r="E413" s="5"/>
      <c r="F413" s="74"/>
      <c r="G413" s="5"/>
      <c r="K413" s="64"/>
      <c r="L413" s="63"/>
      <c r="O413" s="63"/>
    </row>
    <row r="414">
      <c r="A414" s="5"/>
      <c r="E414" s="5"/>
      <c r="F414" s="74"/>
      <c r="G414" s="5"/>
      <c r="K414" s="64"/>
      <c r="L414" s="63"/>
      <c r="O414" s="63"/>
    </row>
    <row r="415">
      <c r="A415" s="5"/>
      <c r="E415" s="5"/>
      <c r="F415" s="74"/>
      <c r="G415" s="5"/>
      <c r="K415" s="64"/>
      <c r="L415" s="63"/>
      <c r="O415" s="63"/>
    </row>
    <row r="416">
      <c r="A416" s="5"/>
      <c r="E416" s="5"/>
      <c r="F416" s="74"/>
      <c r="G416" s="5"/>
      <c r="K416" s="64"/>
      <c r="L416" s="63"/>
      <c r="O416" s="63"/>
    </row>
    <row r="417">
      <c r="A417" s="5"/>
      <c r="E417" s="5"/>
      <c r="F417" s="74"/>
      <c r="G417" s="5"/>
      <c r="K417" s="64"/>
      <c r="L417" s="63"/>
      <c r="O417" s="63"/>
    </row>
    <row r="418">
      <c r="A418" s="5"/>
      <c r="E418" s="5"/>
      <c r="F418" s="74"/>
      <c r="G418" s="5"/>
      <c r="K418" s="64"/>
      <c r="L418" s="63"/>
      <c r="O418" s="63"/>
    </row>
    <row r="419">
      <c r="A419" s="5"/>
      <c r="E419" s="5"/>
      <c r="F419" s="74"/>
      <c r="G419" s="5"/>
      <c r="K419" s="64"/>
      <c r="L419" s="63"/>
      <c r="O419" s="63"/>
    </row>
    <row r="420">
      <c r="A420" s="5"/>
      <c r="E420" s="5"/>
      <c r="F420" s="74"/>
      <c r="G420" s="5"/>
      <c r="K420" s="64"/>
      <c r="L420" s="63"/>
      <c r="O420" s="63"/>
    </row>
    <row r="421">
      <c r="A421" s="5"/>
      <c r="E421" s="5"/>
      <c r="F421" s="74"/>
      <c r="G421" s="5"/>
      <c r="K421" s="64"/>
      <c r="L421" s="63"/>
      <c r="O421" s="63"/>
    </row>
    <row r="422">
      <c r="A422" s="5"/>
      <c r="E422" s="5"/>
      <c r="F422" s="74"/>
      <c r="G422" s="5"/>
      <c r="K422" s="64"/>
      <c r="L422" s="63"/>
      <c r="O422" s="63"/>
    </row>
    <row r="423">
      <c r="A423" s="5"/>
      <c r="E423" s="5"/>
      <c r="F423" s="74"/>
      <c r="G423" s="5"/>
      <c r="K423" s="64"/>
      <c r="L423" s="63"/>
      <c r="O423" s="63"/>
    </row>
    <row r="424">
      <c r="A424" s="5"/>
      <c r="E424" s="5"/>
      <c r="F424" s="74"/>
      <c r="G424" s="5"/>
      <c r="K424" s="64"/>
      <c r="L424" s="63"/>
      <c r="O424" s="63"/>
    </row>
    <row r="425">
      <c r="A425" s="5"/>
      <c r="E425" s="5"/>
      <c r="F425" s="74"/>
      <c r="G425" s="5"/>
      <c r="K425" s="64"/>
      <c r="L425" s="63"/>
      <c r="O425" s="63"/>
    </row>
    <row r="426">
      <c r="A426" s="5"/>
      <c r="E426" s="5"/>
      <c r="F426" s="74"/>
      <c r="G426" s="5"/>
      <c r="K426" s="64"/>
      <c r="L426" s="63"/>
      <c r="O426" s="63"/>
    </row>
    <row r="427">
      <c r="A427" s="5"/>
      <c r="E427" s="5"/>
      <c r="F427" s="74"/>
      <c r="G427" s="5"/>
      <c r="K427" s="64"/>
      <c r="L427" s="63"/>
      <c r="O427" s="63"/>
    </row>
    <row r="428">
      <c r="A428" s="5"/>
      <c r="E428" s="5"/>
      <c r="F428" s="74"/>
      <c r="G428" s="5"/>
      <c r="K428" s="64"/>
      <c r="L428" s="63"/>
      <c r="O428" s="63"/>
    </row>
    <row r="429">
      <c r="A429" s="5"/>
      <c r="E429" s="5"/>
      <c r="F429" s="74"/>
      <c r="G429" s="5"/>
      <c r="K429" s="64"/>
      <c r="L429" s="63"/>
      <c r="O429" s="63"/>
    </row>
    <row r="430">
      <c r="A430" s="5"/>
      <c r="E430" s="5"/>
      <c r="F430" s="74"/>
      <c r="G430" s="5"/>
      <c r="K430" s="64"/>
      <c r="L430" s="63"/>
      <c r="O430" s="63"/>
    </row>
    <row r="431">
      <c r="A431" s="5"/>
      <c r="E431" s="5"/>
      <c r="F431" s="74"/>
      <c r="G431" s="5"/>
      <c r="K431" s="64"/>
      <c r="L431" s="63"/>
      <c r="O431" s="63"/>
    </row>
    <row r="432">
      <c r="A432" s="5"/>
      <c r="E432" s="5"/>
      <c r="F432" s="74"/>
      <c r="G432" s="5"/>
      <c r="K432" s="64"/>
      <c r="L432" s="63"/>
      <c r="O432" s="63"/>
    </row>
    <row r="433">
      <c r="A433" s="5"/>
      <c r="E433" s="5"/>
      <c r="F433" s="74"/>
      <c r="G433" s="5"/>
      <c r="K433" s="64"/>
      <c r="L433" s="63"/>
      <c r="O433" s="63"/>
    </row>
    <row r="434">
      <c r="A434" s="5"/>
      <c r="E434" s="5"/>
      <c r="F434" s="74"/>
      <c r="G434" s="5"/>
      <c r="K434" s="64"/>
      <c r="L434" s="63"/>
      <c r="O434" s="63"/>
    </row>
    <row r="435">
      <c r="A435" s="5"/>
      <c r="E435" s="5"/>
      <c r="F435" s="74"/>
      <c r="G435" s="5"/>
      <c r="K435" s="64"/>
      <c r="L435" s="63"/>
      <c r="O435" s="63"/>
    </row>
    <row r="436">
      <c r="A436" s="5"/>
      <c r="E436" s="5"/>
      <c r="F436" s="74"/>
      <c r="G436" s="5"/>
      <c r="K436" s="64"/>
      <c r="L436" s="63"/>
      <c r="O436" s="63"/>
    </row>
    <row r="437">
      <c r="A437" s="5"/>
      <c r="E437" s="5"/>
      <c r="F437" s="74"/>
      <c r="G437" s="5"/>
      <c r="K437" s="64"/>
      <c r="L437" s="63"/>
      <c r="O437" s="63"/>
    </row>
    <row r="438">
      <c r="A438" s="5"/>
      <c r="E438" s="5"/>
      <c r="F438" s="74"/>
      <c r="G438" s="5"/>
      <c r="K438" s="64"/>
      <c r="L438" s="63"/>
      <c r="O438" s="63"/>
    </row>
    <row r="439">
      <c r="A439" s="5"/>
      <c r="E439" s="5"/>
      <c r="F439" s="74"/>
      <c r="G439" s="5"/>
      <c r="K439" s="64"/>
      <c r="L439" s="63"/>
      <c r="O439" s="63"/>
    </row>
    <row r="440">
      <c r="A440" s="5"/>
      <c r="E440" s="5"/>
      <c r="F440" s="74"/>
      <c r="G440" s="5"/>
      <c r="K440" s="64"/>
      <c r="L440" s="63"/>
      <c r="O440" s="63"/>
    </row>
    <row r="441">
      <c r="A441" s="5"/>
      <c r="E441" s="5"/>
      <c r="F441" s="74"/>
      <c r="G441" s="5"/>
      <c r="K441" s="64"/>
      <c r="L441" s="63"/>
      <c r="O441" s="63"/>
    </row>
    <row r="442">
      <c r="A442" s="5"/>
      <c r="E442" s="5"/>
      <c r="F442" s="74"/>
      <c r="G442" s="5"/>
      <c r="K442" s="64"/>
      <c r="L442" s="63"/>
      <c r="O442" s="63"/>
    </row>
    <row r="443">
      <c r="A443" s="5"/>
      <c r="E443" s="5"/>
      <c r="F443" s="74"/>
      <c r="G443" s="5"/>
      <c r="K443" s="64"/>
      <c r="L443" s="63"/>
      <c r="O443" s="63"/>
    </row>
    <row r="444">
      <c r="A444" s="5"/>
      <c r="E444" s="5"/>
      <c r="F444" s="74"/>
      <c r="G444" s="5"/>
      <c r="K444" s="64"/>
      <c r="L444" s="63"/>
      <c r="O444" s="63"/>
    </row>
    <row r="445">
      <c r="A445" s="5"/>
      <c r="E445" s="5"/>
      <c r="F445" s="74"/>
      <c r="G445" s="5"/>
      <c r="K445" s="64"/>
      <c r="L445" s="63"/>
      <c r="O445" s="63"/>
    </row>
    <row r="446">
      <c r="A446" s="5"/>
      <c r="E446" s="5"/>
      <c r="F446" s="74"/>
      <c r="G446" s="5"/>
      <c r="K446" s="64"/>
      <c r="L446" s="63"/>
      <c r="O446" s="63"/>
    </row>
    <row r="447">
      <c r="A447" s="5"/>
      <c r="E447" s="5"/>
      <c r="F447" s="74"/>
      <c r="G447" s="5"/>
      <c r="K447" s="64"/>
      <c r="L447" s="63"/>
      <c r="O447" s="63"/>
    </row>
    <row r="448">
      <c r="A448" s="5"/>
      <c r="E448" s="5"/>
      <c r="F448" s="74"/>
      <c r="G448" s="5"/>
      <c r="K448" s="64"/>
      <c r="L448" s="63"/>
      <c r="O448" s="63"/>
    </row>
    <row r="449">
      <c r="A449" s="5"/>
      <c r="E449" s="5"/>
      <c r="F449" s="74"/>
      <c r="G449" s="5"/>
      <c r="K449" s="64"/>
      <c r="L449" s="63"/>
      <c r="O449" s="63"/>
    </row>
    <row r="450">
      <c r="A450" s="5"/>
      <c r="E450" s="5"/>
      <c r="F450" s="74"/>
      <c r="G450" s="5"/>
      <c r="K450" s="64"/>
      <c r="L450" s="63"/>
      <c r="O450" s="63"/>
    </row>
    <row r="451">
      <c r="A451" s="5"/>
      <c r="E451" s="5"/>
      <c r="F451" s="74"/>
      <c r="G451" s="5"/>
      <c r="K451" s="64"/>
      <c r="L451" s="63"/>
      <c r="O451" s="63"/>
    </row>
    <row r="452">
      <c r="A452" s="5"/>
      <c r="E452" s="5"/>
      <c r="F452" s="74"/>
      <c r="G452" s="5"/>
      <c r="K452" s="64"/>
      <c r="L452" s="63"/>
      <c r="O452" s="63"/>
    </row>
    <row r="453">
      <c r="A453" s="5"/>
      <c r="E453" s="5"/>
      <c r="F453" s="74"/>
      <c r="G453" s="5"/>
      <c r="K453" s="64"/>
      <c r="L453" s="63"/>
      <c r="O453" s="63"/>
    </row>
    <row r="454">
      <c r="A454" s="5"/>
      <c r="E454" s="5"/>
      <c r="F454" s="74"/>
      <c r="G454" s="5"/>
      <c r="K454" s="64"/>
      <c r="L454" s="63"/>
      <c r="O454" s="63"/>
    </row>
    <row r="455">
      <c r="A455" s="5"/>
      <c r="E455" s="5"/>
      <c r="F455" s="74"/>
      <c r="G455" s="5"/>
      <c r="K455" s="64"/>
      <c r="L455" s="63"/>
      <c r="O455" s="63"/>
    </row>
    <row r="456">
      <c r="A456" s="5"/>
      <c r="E456" s="5"/>
      <c r="F456" s="74"/>
      <c r="G456" s="5"/>
      <c r="K456" s="64"/>
      <c r="L456" s="63"/>
      <c r="O456" s="63"/>
    </row>
    <row r="457">
      <c r="A457" s="5"/>
      <c r="E457" s="5"/>
      <c r="F457" s="74"/>
      <c r="G457" s="5"/>
      <c r="K457" s="64"/>
      <c r="L457" s="63"/>
      <c r="O457" s="63"/>
    </row>
    <row r="458">
      <c r="A458" s="5"/>
      <c r="E458" s="5"/>
      <c r="F458" s="74"/>
      <c r="G458" s="5"/>
      <c r="K458" s="64"/>
      <c r="L458" s="63"/>
      <c r="O458" s="63"/>
    </row>
    <row r="459">
      <c r="A459" s="5"/>
      <c r="E459" s="5"/>
      <c r="F459" s="74"/>
      <c r="G459" s="5"/>
      <c r="K459" s="64"/>
      <c r="L459" s="63"/>
      <c r="O459" s="63"/>
    </row>
    <row r="460">
      <c r="A460" s="5"/>
      <c r="E460" s="5"/>
      <c r="F460" s="74"/>
      <c r="G460" s="5"/>
      <c r="K460" s="64"/>
      <c r="L460" s="63"/>
      <c r="O460" s="63"/>
    </row>
    <row r="461">
      <c r="A461" s="5"/>
      <c r="E461" s="5"/>
      <c r="F461" s="74"/>
      <c r="G461" s="5"/>
      <c r="K461" s="64"/>
      <c r="L461" s="63"/>
      <c r="O461" s="63"/>
    </row>
    <row r="462">
      <c r="A462" s="5"/>
      <c r="E462" s="5"/>
      <c r="F462" s="74"/>
      <c r="G462" s="5"/>
      <c r="K462" s="64"/>
      <c r="L462" s="63"/>
      <c r="O462" s="63"/>
    </row>
    <row r="463">
      <c r="A463" s="5"/>
      <c r="E463" s="5"/>
      <c r="F463" s="74"/>
      <c r="G463" s="5"/>
      <c r="K463" s="64"/>
      <c r="L463" s="63"/>
      <c r="O463" s="63"/>
    </row>
    <row r="464">
      <c r="A464" s="5"/>
      <c r="E464" s="5"/>
      <c r="F464" s="74"/>
      <c r="G464" s="5"/>
      <c r="K464" s="64"/>
      <c r="L464" s="63"/>
      <c r="O464" s="63"/>
    </row>
    <row r="465">
      <c r="A465" s="5"/>
      <c r="E465" s="5"/>
      <c r="F465" s="74"/>
      <c r="G465" s="5"/>
      <c r="K465" s="64"/>
      <c r="L465" s="63"/>
      <c r="O465" s="63"/>
    </row>
    <row r="466">
      <c r="A466" s="5"/>
      <c r="E466" s="5"/>
      <c r="F466" s="74"/>
      <c r="G466" s="5"/>
      <c r="K466" s="64"/>
      <c r="L466" s="63"/>
      <c r="O466" s="63"/>
    </row>
    <row r="467">
      <c r="A467" s="5"/>
      <c r="E467" s="5"/>
      <c r="F467" s="74"/>
      <c r="G467" s="5"/>
      <c r="K467" s="64"/>
      <c r="L467" s="63"/>
      <c r="O467" s="63"/>
    </row>
    <row r="468">
      <c r="A468" s="5"/>
      <c r="E468" s="5"/>
      <c r="F468" s="74"/>
      <c r="G468" s="5"/>
      <c r="K468" s="64"/>
      <c r="L468" s="63"/>
      <c r="O468" s="63"/>
    </row>
    <row r="469">
      <c r="A469" s="5"/>
      <c r="E469" s="5"/>
      <c r="F469" s="74"/>
      <c r="G469" s="5"/>
      <c r="K469" s="64"/>
      <c r="L469" s="63"/>
      <c r="O469" s="63"/>
    </row>
    <row r="470">
      <c r="A470" s="5"/>
      <c r="E470" s="5"/>
      <c r="F470" s="74"/>
      <c r="G470" s="5"/>
      <c r="K470" s="64"/>
      <c r="L470" s="63"/>
      <c r="O470" s="63"/>
    </row>
    <row r="471">
      <c r="A471" s="5"/>
      <c r="E471" s="5"/>
      <c r="F471" s="74"/>
      <c r="G471" s="5"/>
      <c r="K471" s="64"/>
      <c r="L471" s="63"/>
      <c r="O471" s="63"/>
    </row>
    <row r="472">
      <c r="A472" s="5"/>
      <c r="E472" s="5"/>
      <c r="F472" s="74"/>
      <c r="G472" s="5"/>
      <c r="K472" s="64"/>
      <c r="L472" s="63"/>
      <c r="O472" s="63"/>
    </row>
    <row r="473">
      <c r="A473" s="5"/>
      <c r="E473" s="5"/>
      <c r="F473" s="74"/>
      <c r="G473" s="5"/>
      <c r="K473" s="64"/>
      <c r="L473" s="63"/>
      <c r="O473" s="63"/>
    </row>
    <row r="474">
      <c r="A474" s="5"/>
      <c r="E474" s="5"/>
      <c r="F474" s="74"/>
      <c r="G474" s="5"/>
      <c r="K474" s="64"/>
      <c r="L474" s="63"/>
      <c r="O474" s="63"/>
    </row>
    <row r="475">
      <c r="A475" s="5"/>
      <c r="E475" s="5"/>
      <c r="F475" s="74"/>
      <c r="G475" s="5"/>
      <c r="K475" s="64"/>
      <c r="L475" s="63"/>
      <c r="O475" s="63"/>
    </row>
    <row r="476">
      <c r="A476" s="5"/>
      <c r="E476" s="5"/>
      <c r="F476" s="74"/>
      <c r="G476" s="5"/>
      <c r="K476" s="64"/>
      <c r="L476" s="63"/>
      <c r="O476" s="63"/>
    </row>
    <row r="477">
      <c r="A477" s="5"/>
      <c r="E477" s="5"/>
      <c r="F477" s="74"/>
      <c r="G477" s="5"/>
      <c r="K477" s="64"/>
      <c r="L477" s="63"/>
      <c r="O477" s="63"/>
    </row>
    <row r="478">
      <c r="A478" s="5"/>
      <c r="E478" s="5"/>
      <c r="F478" s="74"/>
      <c r="G478" s="5"/>
      <c r="K478" s="64"/>
      <c r="L478" s="63"/>
      <c r="O478" s="63"/>
    </row>
    <row r="479">
      <c r="A479" s="5"/>
      <c r="E479" s="5"/>
      <c r="F479" s="74"/>
      <c r="G479" s="5"/>
      <c r="K479" s="64"/>
      <c r="L479" s="63"/>
      <c r="O479" s="63"/>
    </row>
    <row r="480">
      <c r="A480" s="5"/>
      <c r="E480" s="5"/>
      <c r="F480" s="74"/>
      <c r="G480" s="5"/>
      <c r="K480" s="64"/>
      <c r="L480" s="63"/>
      <c r="O480" s="63"/>
    </row>
    <row r="481">
      <c r="A481" s="5"/>
      <c r="E481" s="5"/>
      <c r="F481" s="74"/>
      <c r="G481" s="5"/>
      <c r="K481" s="64"/>
      <c r="L481" s="63"/>
      <c r="O481" s="63"/>
    </row>
    <row r="482">
      <c r="A482" s="5"/>
      <c r="E482" s="5"/>
      <c r="F482" s="74"/>
      <c r="G482" s="5"/>
      <c r="K482" s="64"/>
      <c r="L482" s="63"/>
      <c r="O482" s="63"/>
    </row>
    <row r="483">
      <c r="A483" s="5"/>
      <c r="E483" s="5"/>
      <c r="F483" s="74"/>
      <c r="G483" s="5"/>
      <c r="K483" s="64"/>
      <c r="L483" s="63"/>
      <c r="O483" s="63"/>
    </row>
    <row r="484">
      <c r="A484" s="5"/>
      <c r="E484" s="5"/>
      <c r="F484" s="74"/>
      <c r="G484" s="5"/>
      <c r="K484" s="64"/>
      <c r="L484" s="63"/>
      <c r="O484" s="63"/>
    </row>
    <row r="485">
      <c r="A485" s="5"/>
      <c r="E485" s="5"/>
      <c r="F485" s="74"/>
      <c r="G485" s="5"/>
      <c r="K485" s="64"/>
      <c r="L485" s="63"/>
      <c r="O485" s="63"/>
    </row>
    <row r="486">
      <c r="A486" s="5"/>
      <c r="E486" s="5"/>
      <c r="F486" s="74"/>
      <c r="G486" s="5"/>
      <c r="K486" s="64"/>
      <c r="L486" s="63"/>
      <c r="O486" s="63"/>
    </row>
    <row r="487">
      <c r="A487" s="5"/>
      <c r="E487" s="5"/>
      <c r="F487" s="74"/>
      <c r="G487" s="5"/>
      <c r="K487" s="64"/>
      <c r="L487" s="63"/>
      <c r="O487" s="63"/>
    </row>
    <row r="488">
      <c r="A488" s="5"/>
      <c r="E488" s="5"/>
      <c r="F488" s="74"/>
      <c r="G488" s="5"/>
      <c r="K488" s="64"/>
      <c r="L488" s="63"/>
      <c r="O488" s="63"/>
    </row>
    <row r="489">
      <c r="A489" s="5"/>
      <c r="E489" s="5"/>
      <c r="F489" s="74"/>
      <c r="G489" s="5"/>
      <c r="K489" s="64"/>
      <c r="L489" s="63"/>
      <c r="O489" s="63"/>
    </row>
    <row r="490">
      <c r="A490" s="5"/>
      <c r="E490" s="5"/>
      <c r="F490" s="74"/>
      <c r="G490" s="5"/>
      <c r="K490" s="64"/>
      <c r="L490" s="63"/>
      <c r="O490" s="63"/>
    </row>
    <row r="491">
      <c r="A491" s="5"/>
      <c r="E491" s="5"/>
      <c r="F491" s="74"/>
      <c r="G491" s="5"/>
      <c r="K491" s="64"/>
      <c r="L491" s="63"/>
      <c r="O491" s="63"/>
    </row>
    <row r="492">
      <c r="A492" s="5"/>
      <c r="E492" s="5"/>
      <c r="F492" s="74"/>
      <c r="G492" s="5"/>
      <c r="K492" s="64"/>
      <c r="L492" s="63"/>
      <c r="O492" s="63"/>
    </row>
    <row r="493">
      <c r="A493" s="5"/>
      <c r="E493" s="5"/>
      <c r="F493" s="74"/>
      <c r="G493" s="5"/>
      <c r="K493" s="64"/>
      <c r="L493" s="63"/>
      <c r="O493" s="63"/>
    </row>
    <row r="494">
      <c r="A494" s="5"/>
      <c r="E494" s="5"/>
      <c r="F494" s="74"/>
      <c r="G494" s="5"/>
      <c r="K494" s="64"/>
      <c r="L494" s="63"/>
      <c r="O494" s="63"/>
    </row>
    <row r="495">
      <c r="A495" s="5"/>
      <c r="E495" s="5"/>
      <c r="F495" s="74"/>
      <c r="G495" s="5"/>
      <c r="K495" s="64"/>
      <c r="L495" s="63"/>
      <c r="O495" s="63"/>
    </row>
    <row r="496">
      <c r="A496" s="5"/>
      <c r="E496" s="5"/>
      <c r="F496" s="74"/>
      <c r="G496" s="5"/>
      <c r="K496" s="64"/>
      <c r="L496" s="63"/>
      <c r="O496" s="63"/>
    </row>
    <row r="497">
      <c r="A497" s="5"/>
      <c r="E497" s="5"/>
      <c r="F497" s="74"/>
      <c r="G497" s="5"/>
      <c r="K497" s="64"/>
      <c r="L497" s="63"/>
      <c r="O497" s="63"/>
    </row>
    <row r="498">
      <c r="A498" s="5"/>
      <c r="E498" s="5"/>
      <c r="F498" s="74"/>
      <c r="G498" s="5"/>
      <c r="K498" s="64"/>
      <c r="L498" s="63"/>
      <c r="O498" s="63"/>
    </row>
    <row r="499">
      <c r="A499" s="5"/>
      <c r="E499" s="5"/>
      <c r="F499" s="74"/>
      <c r="G499" s="5"/>
      <c r="K499" s="64"/>
      <c r="L499" s="63"/>
      <c r="O499" s="63"/>
    </row>
    <row r="500">
      <c r="A500" s="5"/>
      <c r="E500" s="5"/>
      <c r="F500" s="74"/>
      <c r="G500" s="5"/>
      <c r="K500" s="64"/>
      <c r="L500" s="63"/>
      <c r="O500" s="63"/>
    </row>
    <row r="501">
      <c r="A501" s="5"/>
      <c r="E501" s="5"/>
      <c r="F501" s="74"/>
      <c r="G501" s="5"/>
      <c r="K501" s="64"/>
      <c r="L501" s="63"/>
      <c r="O501" s="63"/>
    </row>
    <row r="502">
      <c r="A502" s="5"/>
      <c r="E502" s="5"/>
      <c r="F502" s="74"/>
      <c r="G502" s="5"/>
      <c r="K502" s="64"/>
      <c r="L502" s="63"/>
      <c r="O502" s="63"/>
    </row>
    <row r="503">
      <c r="A503" s="5"/>
      <c r="E503" s="5"/>
      <c r="F503" s="74"/>
      <c r="G503" s="5"/>
      <c r="K503" s="64"/>
      <c r="L503" s="63"/>
      <c r="O503" s="63"/>
    </row>
    <row r="504">
      <c r="A504" s="5"/>
      <c r="E504" s="5"/>
      <c r="F504" s="74"/>
      <c r="G504" s="5"/>
      <c r="K504" s="64"/>
      <c r="L504" s="63"/>
      <c r="O504" s="63"/>
    </row>
    <row r="505">
      <c r="A505" s="5"/>
      <c r="E505" s="5"/>
      <c r="F505" s="74"/>
      <c r="G505" s="5"/>
      <c r="K505" s="64"/>
      <c r="L505" s="63"/>
      <c r="O505" s="63"/>
    </row>
    <row r="506">
      <c r="A506" s="5"/>
      <c r="E506" s="5"/>
      <c r="F506" s="74"/>
      <c r="G506" s="5"/>
      <c r="K506" s="64"/>
      <c r="L506" s="63"/>
      <c r="O506" s="63"/>
    </row>
    <row r="507">
      <c r="A507" s="5"/>
      <c r="E507" s="5"/>
      <c r="F507" s="74"/>
      <c r="G507" s="5"/>
      <c r="K507" s="64"/>
      <c r="L507" s="63"/>
      <c r="O507" s="63"/>
    </row>
    <row r="508">
      <c r="A508" s="5"/>
      <c r="E508" s="5"/>
      <c r="F508" s="74"/>
      <c r="G508" s="5"/>
      <c r="K508" s="64"/>
      <c r="L508" s="63"/>
      <c r="O508" s="63"/>
    </row>
    <row r="509">
      <c r="A509" s="5"/>
      <c r="E509" s="5"/>
      <c r="F509" s="74"/>
      <c r="G509" s="5"/>
      <c r="K509" s="64"/>
      <c r="L509" s="63"/>
      <c r="O509" s="63"/>
    </row>
    <row r="510">
      <c r="A510" s="5"/>
      <c r="E510" s="5"/>
      <c r="F510" s="74"/>
      <c r="G510" s="5"/>
      <c r="K510" s="64"/>
      <c r="L510" s="63"/>
      <c r="O510" s="63"/>
    </row>
    <row r="511">
      <c r="A511" s="5"/>
      <c r="E511" s="5"/>
      <c r="F511" s="74"/>
      <c r="G511" s="5"/>
      <c r="K511" s="64"/>
      <c r="L511" s="63"/>
      <c r="O511" s="63"/>
    </row>
    <row r="512">
      <c r="A512" s="5"/>
      <c r="E512" s="5"/>
      <c r="F512" s="74"/>
      <c r="G512" s="5"/>
      <c r="K512" s="64"/>
      <c r="L512" s="63"/>
      <c r="O512" s="63"/>
    </row>
    <row r="513">
      <c r="A513" s="5"/>
      <c r="E513" s="5"/>
      <c r="F513" s="74"/>
      <c r="G513" s="5"/>
      <c r="K513" s="64"/>
      <c r="L513" s="63"/>
      <c r="O513" s="63"/>
    </row>
    <row r="514">
      <c r="A514" s="5"/>
      <c r="E514" s="5"/>
      <c r="F514" s="74"/>
      <c r="G514" s="5"/>
      <c r="K514" s="64"/>
      <c r="L514" s="63"/>
      <c r="O514" s="63"/>
    </row>
    <row r="515">
      <c r="A515" s="5"/>
      <c r="E515" s="5"/>
      <c r="F515" s="74"/>
      <c r="G515" s="5"/>
      <c r="K515" s="64"/>
      <c r="L515" s="63"/>
      <c r="O515" s="63"/>
    </row>
    <row r="516">
      <c r="A516" s="5"/>
      <c r="E516" s="5"/>
      <c r="F516" s="74"/>
      <c r="G516" s="5"/>
      <c r="K516" s="64"/>
      <c r="L516" s="63"/>
      <c r="O516" s="63"/>
    </row>
    <row r="517">
      <c r="A517" s="5"/>
      <c r="E517" s="5"/>
      <c r="F517" s="74"/>
      <c r="G517" s="5"/>
      <c r="K517" s="64"/>
      <c r="L517" s="63"/>
      <c r="O517" s="63"/>
    </row>
    <row r="518">
      <c r="A518" s="5"/>
      <c r="E518" s="5"/>
      <c r="F518" s="74"/>
      <c r="G518" s="5"/>
      <c r="K518" s="64"/>
      <c r="L518" s="63"/>
      <c r="O518" s="63"/>
    </row>
    <row r="519">
      <c r="A519" s="5"/>
      <c r="E519" s="5"/>
      <c r="F519" s="74"/>
      <c r="G519" s="5"/>
      <c r="K519" s="64"/>
      <c r="L519" s="63"/>
      <c r="O519" s="63"/>
    </row>
    <row r="520">
      <c r="A520" s="5"/>
      <c r="E520" s="5"/>
      <c r="F520" s="74"/>
      <c r="G520" s="5"/>
      <c r="K520" s="64"/>
      <c r="L520" s="63"/>
      <c r="O520" s="63"/>
    </row>
    <row r="521">
      <c r="A521" s="5"/>
      <c r="E521" s="5"/>
      <c r="F521" s="74"/>
      <c r="G521" s="5"/>
      <c r="K521" s="64"/>
      <c r="L521" s="63"/>
      <c r="O521" s="63"/>
    </row>
    <row r="522">
      <c r="A522" s="5"/>
      <c r="E522" s="5"/>
      <c r="F522" s="74"/>
      <c r="G522" s="5"/>
      <c r="K522" s="64"/>
      <c r="L522" s="63"/>
      <c r="O522" s="63"/>
    </row>
    <row r="523">
      <c r="A523" s="5"/>
      <c r="E523" s="5"/>
      <c r="F523" s="74"/>
      <c r="G523" s="5"/>
      <c r="K523" s="64"/>
      <c r="L523" s="63"/>
      <c r="O523" s="63"/>
    </row>
    <row r="524">
      <c r="A524" s="5"/>
      <c r="E524" s="5"/>
      <c r="F524" s="74"/>
      <c r="G524" s="5"/>
      <c r="K524" s="64"/>
      <c r="L524" s="63"/>
      <c r="O524" s="63"/>
    </row>
    <row r="525">
      <c r="A525" s="5"/>
      <c r="E525" s="5"/>
      <c r="F525" s="74"/>
      <c r="G525" s="5"/>
      <c r="K525" s="64"/>
      <c r="L525" s="63"/>
      <c r="O525" s="63"/>
    </row>
    <row r="526">
      <c r="A526" s="5"/>
      <c r="E526" s="5"/>
      <c r="F526" s="74"/>
      <c r="G526" s="5"/>
      <c r="K526" s="64"/>
      <c r="L526" s="63"/>
      <c r="O526" s="63"/>
    </row>
    <row r="527">
      <c r="A527" s="5"/>
      <c r="E527" s="5"/>
      <c r="F527" s="74"/>
      <c r="G527" s="5"/>
      <c r="K527" s="64"/>
      <c r="L527" s="63"/>
      <c r="O527" s="63"/>
    </row>
    <row r="528">
      <c r="A528" s="5"/>
      <c r="E528" s="5"/>
      <c r="F528" s="74"/>
      <c r="G528" s="5"/>
      <c r="K528" s="64"/>
      <c r="L528" s="63"/>
      <c r="O528" s="63"/>
    </row>
    <row r="529">
      <c r="A529" s="5"/>
      <c r="E529" s="5"/>
      <c r="F529" s="74"/>
      <c r="G529" s="5"/>
      <c r="K529" s="64"/>
      <c r="L529" s="63"/>
      <c r="O529" s="63"/>
    </row>
    <row r="530">
      <c r="A530" s="5"/>
      <c r="E530" s="5"/>
      <c r="F530" s="74"/>
      <c r="G530" s="5"/>
      <c r="K530" s="64"/>
      <c r="L530" s="63"/>
      <c r="O530" s="63"/>
    </row>
    <row r="531">
      <c r="A531" s="5"/>
      <c r="E531" s="5"/>
      <c r="F531" s="74"/>
      <c r="G531" s="5"/>
      <c r="K531" s="64"/>
      <c r="L531" s="63"/>
      <c r="O531" s="63"/>
    </row>
    <row r="532">
      <c r="A532" s="5"/>
      <c r="E532" s="5"/>
      <c r="F532" s="74"/>
      <c r="G532" s="5"/>
      <c r="K532" s="64"/>
      <c r="L532" s="63"/>
      <c r="O532" s="63"/>
    </row>
    <row r="533">
      <c r="A533" s="5"/>
      <c r="E533" s="5"/>
      <c r="F533" s="74"/>
      <c r="G533" s="5"/>
      <c r="K533" s="64"/>
      <c r="L533" s="63"/>
      <c r="O533" s="63"/>
    </row>
    <row r="534">
      <c r="A534" s="5"/>
      <c r="E534" s="5"/>
      <c r="F534" s="74"/>
      <c r="G534" s="5"/>
      <c r="K534" s="64"/>
      <c r="L534" s="63"/>
      <c r="O534" s="63"/>
    </row>
    <row r="535">
      <c r="A535" s="5"/>
      <c r="E535" s="5"/>
      <c r="F535" s="74"/>
      <c r="G535" s="5"/>
      <c r="K535" s="64"/>
      <c r="L535" s="63"/>
      <c r="O535" s="63"/>
    </row>
    <row r="536">
      <c r="A536" s="5"/>
      <c r="E536" s="5"/>
      <c r="F536" s="74"/>
      <c r="G536" s="5"/>
      <c r="K536" s="64"/>
      <c r="L536" s="63"/>
      <c r="O536" s="63"/>
    </row>
    <row r="537">
      <c r="A537" s="5"/>
      <c r="E537" s="5"/>
      <c r="F537" s="74"/>
      <c r="G537" s="5"/>
      <c r="K537" s="64"/>
      <c r="L537" s="63"/>
      <c r="O537" s="63"/>
    </row>
    <row r="538">
      <c r="A538" s="5"/>
      <c r="E538" s="5"/>
      <c r="F538" s="74"/>
      <c r="G538" s="5"/>
      <c r="K538" s="64"/>
      <c r="L538" s="63"/>
      <c r="O538" s="63"/>
    </row>
    <row r="539">
      <c r="A539" s="5"/>
      <c r="E539" s="5"/>
      <c r="F539" s="74"/>
      <c r="G539" s="5"/>
      <c r="K539" s="64"/>
      <c r="L539" s="63"/>
      <c r="O539" s="63"/>
    </row>
    <row r="540">
      <c r="A540" s="5"/>
      <c r="E540" s="5"/>
      <c r="F540" s="74"/>
      <c r="G540" s="5"/>
      <c r="K540" s="64"/>
      <c r="L540" s="63"/>
      <c r="O540" s="63"/>
    </row>
    <row r="541">
      <c r="A541" s="5"/>
      <c r="E541" s="5"/>
      <c r="F541" s="74"/>
      <c r="G541" s="5"/>
      <c r="K541" s="64"/>
      <c r="L541" s="63"/>
      <c r="O541" s="63"/>
    </row>
    <row r="542">
      <c r="A542" s="5"/>
      <c r="E542" s="5"/>
      <c r="F542" s="74"/>
      <c r="G542" s="5"/>
      <c r="K542" s="64"/>
      <c r="L542" s="63"/>
      <c r="O542" s="63"/>
    </row>
    <row r="543">
      <c r="A543" s="5"/>
      <c r="E543" s="5"/>
      <c r="F543" s="74"/>
      <c r="G543" s="5"/>
      <c r="K543" s="64"/>
      <c r="L543" s="63"/>
      <c r="O543" s="63"/>
    </row>
    <row r="544">
      <c r="A544" s="5"/>
      <c r="E544" s="5"/>
      <c r="F544" s="74"/>
      <c r="G544" s="5"/>
      <c r="K544" s="64"/>
      <c r="L544" s="63"/>
      <c r="O544" s="63"/>
    </row>
    <row r="545">
      <c r="A545" s="5"/>
      <c r="E545" s="5"/>
      <c r="F545" s="74"/>
      <c r="G545" s="5"/>
      <c r="K545" s="64"/>
      <c r="L545" s="63"/>
      <c r="O545" s="63"/>
    </row>
    <row r="546">
      <c r="A546" s="5"/>
      <c r="E546" s="5"/>
      <c r="F546" s="74"/>
      <c r="G546" s="5"/>
      <c r="K546" s="64"/>
      <c r="L546" s="63"/>
      <c r="O546" s="63"/>
    </row>
    <row r="547">
      <c r="A547" s="5"/>
      <c r="E547" s="5"/>
      <c r="F547" s="74"/>
      <c r="G547" s="5"/>
      <c r="K547" s="64"/>
      <c r="L547" s="63"/>
      <c r="O547" s="63"/>
    </row>
    <row r="548">
      <c r="A548" s="5"/>
      <c r="E548" s="5"/>
      <c r="F548" s="74"/>
      <c r="G548" s="5"/>
      <c r="K548" s="64"/>
      <c r="L548" s="63"/>
      <c r="O548" s="63"/>
    </row>
    <row r="549">
      <c r="A549" s="5"/>
      <c r="E549" s="5"/>
      <c r="F549" s="74"/>
      <c r="G549" s="5"/>
      <c r="K549" s="64"/>
      <c r="L549" s="63"/>
      <c r="O549" s="63"/>
    </row>
    <row r="550">
      <c r="A550" s="5"/>
      <c r="E550" s="5"/>
      <c r="F550" s="74"/>
      <c r="G550" s="5"/>
      <c r="K550" s="64"/>
      <c r="L550" s="63"/>
      <c r="O550" s="63"/>
    </row>
    <row r="551">
      <c r="A551" s="5"/>
      <c r="E551" s="5"/>
      <c r="F551" s="74"/>
      <c r="G551" s="5"/>
      <c r="K551" s="64"/>
      <c r="L551" s="63"/>
      <c r="O551" s="63"/>
    </row>
    <row r="552">
      <c r="A552" s="5"/>
      <c r="E552" s="5"/>
      <c r="F552" s="74"/>
      <c r="G552" s="5"/>
      <c r="K552" s="64"/>
      <c r="L552" s="63"/>
      <c r="O552" s="63"/>
    </row>
    <row r="553">
      <c r="A553" s="5"/>
      <c r="E553" s="5"/>
      <c r="F553" s="74"/>
      <c r="G553" s="5"/>
      <c r="K553" s="64"/>
      <c r="L553" s="63"/>
      <c r="O553" s="63"/>
    </row>
    <row r="554">
      <c r="A554" s="5"/>
      <c r="E554" s="5"/>
      <c r="F554" s="74"/>
      <c r="G554" s="5"/>
      <c r="K554" s="64"/>
      <c r="L554" s="63"/>
      <c r="O554" s="63"/>
    </row>
    <row r="555">
      <c r="A555" s="5"/>
      <c r="E555" s="5"/>
      <c r="F555" s="74"/>
      <c r="G555" s="5"/>
      <c r="K555" s="64"/>
      <c r="L555" s="63"/>
      <c r="O555" s="63"/>
    </row>
    <row r="556">
      <c r="A556" s="5"/>
      <c r="E556" s="5"/>
      <c r="F556" s="74"/>
      <c r="G556" s="5"/>
      <c r="K556" s="64"/>
      <c r="L556" s="63"/>
      <c r="O556" s="63"/>
    </row>
    <row r="557">
      <c r="A557" s="5"/>
      <c r="E557" s="5"/>
      <c r="F557" s="74"/>
      <c r="G557" s="5"/>
      <c r="K557" s="64"/>
      <c r="L557" s="63"/>
      <c r="O557" s="63"/>
    </row>
    <row r="558">
      <c r="A558" s="5"/>
      <c r="E558" s="5"/>
      <c r="F558" s="74"/>
      <c r="G558" s="5"/>
      <c r="K558" s="64"/>
      <c r="L558" s="63"/>
      <c r="O558" s="63"/>
    </row>
    <row r="559">
      <c r="A559" s="5"/>
      <c r="E559" s="5"/>
      <c r="F559" s="74"/>
      <c r="G559" s="5"/>
      <c r="K559" s="64"/>
      <c r="L559" s="63"/>
      <c r="O559" s="63"/>
    </row>
    <row r="560">
      <c r="A560" s="5"/>
      <c r="E560" s="5"/>
      <c r="F560" s="74"/>
      <c r="G560" s="5"/>
      <c r="K560" s="64"/>
      <c r="L560" s="63"/>
      <c r="O560" s="63"/>
    </row>
    <row r="561">
      <c r="A561" s="5"/>
      <c r="E561" s="5"/>
      <c r="F561" s="74"/>
      <c r="G561" s="5"/>
      <c r="K561" s="64"/>
      <c r="L561" s="63"/>
      <c r="O561" s="63"/>
    </row>
    <row r="562">
      <c r="A562" s="5"/>
      <c r="E562" s="5"/>
      <c r="F562" s="74"/>
      <c r="G562" s="5"/>
      <c r="K562" s="64"/>
      <c r="L562" s="63"/>
      <c r="O562" s="63"/>
    </row>
    <row r="563">
      <c r="A563" s="5"/>
      <c r="E563" s="5"/>
      <c r="F563" s="74"/>
      <c r="G563" s="5"/>
      <c r="K563" s="64"/>
      <c r="L563" s="63"/>
      <c r="O563" s="63"/>
    </row>
    <row r="564">
      <c r="A564" s="5"/>
      <c r="E564" s="5"/>
      <c r="F564" s="74"/>
      <c r="G564" s="5"/>
      <c r="K564" s="64"/>
      <c r="L564" s="63"/>
      <c r="O564" s="63"/>
    </row>
    <row r="565">
      <c r="A565" s="5"/>
      <c r="E565" s="5"/>
      <c r="F565" s="74"/>
      <c r="G565" s="5"/>
      <c r="K565" s="64"/>
      <c r="L565" s="63"/>
      <c r="O565" s="63"/>
    </row>
    <row r="566">
      <c r="A566" s="5"/>
      <c r="E566" s="5"/>
      <c r="F566" s="74"/>
      <c r="G566" s="5"/>
      <c r="K566" s="64"/>
      <c r="L566" s="63"/>
      <c r="O566" s="63"/>
    </row>
    <row r="567">
      <c r="A567" s="5"/>
      <c r="E567" s="5"/>
      <c r="F567" s="74"/>
      <c r="G567" s="5"/>
      <c r="K567" s="64"/>
      <c r="L567" s="63"/>
      <c r="O567" s="63"/>
    </row>
    <row r="568">
      <c r="A568" s="5"/>
      <c r="E568" s="5"/>
      <c r="F568" s="74"/>
      <c r="G568" s="5"/>
      <c r="K568" s="64"/>
      <c r="L568" s="63"/>
      <c r="O568" s="63"/>
    </row>
    <row r="569">
      <c r="A569" s="5"/>
      <c r="E569" s="5"/>
      <c r="F569" s="74"/>
      <c r="G569" s="5"/>
      <c r="K569" s="64"/>
      <c r="L569" s="63"/>
      <c r="O569" s="63"/>
    </row>
    <row r="570">
      <c r="A570" s="5"/>
      <c r="E570" s="5"/>
      <c r="F570" s="74"/>
      <c r="G570" s="5"/>
      <c r="K570" s="64"/>
      <c r="L570" s="63"/>
      <c r="O570" s="63"/>
    </row>
    <row r="571">
      <c r="A571" s="5"/>
      <c r="E571" s="5"/>
      <c r="F571" s="74"/>
      <c r="G571" s="5"/>
      <c r="K571" s="64"/>
      <c r="L571" s="63"/>
      <c r="O571" s="63"/>
    </row>
    <row r="572">
      <c r="A572" s="5"/>
      <c r="E572" s="5"/>
      <c r="F572" s="74"/>
      <c r="G572" s="5"/>
      <c r="K572" s="64"/>
      <c r="L572" s="63"/>
      <c r="O572" s="63"/>
    </row>
    <row r="573">
      <c r="A573" s="5"/>
      <c r="E573" s="5"/>
      <c r="F573" s="74"/>
      <c r="G573" s="5"/>
      <c r="K573" s="64"/>
      <c r="L573" s="63"/>
      <c r="O573" s="63"/>
    </row>
    <row r="574">
      <c r="A574" s="5"/>
      <c r="E574" s="5"/>
      <c r="F574" s="74"/>
      <c r="G574" s="5"/>
      <c r="K574" s="64"/>
      <c r="L574" s="63"/>
      <c r="O574" s="63"/>
    </row>
    <row r="575">
      <c r="A575" s="5"/>
      <c r="E575" s="5"/>
      <c r="F575" s="74"/>
      <c r="G575" s="5"/>
      <c r="K575" s="64"/>
      <c r="L575" s="63"/>
      <c r="O575" s="63"/>
    </row>
    <row r="576">
      <c r="A576" s="5"/>
      <c r="E576" s="5"/>
      <c r="F576" s="74"/>
      <c r="G576" s="5"/>
      <c r="K576" s="64"/>
      <c r="L576" s="63"/>
      <c r="O576" s="63"/>
    </row>
    <row r="577">
      <c r="A577" s="5"/>
      <c r="E577" s="5"/>
      <c r="F577" s="74"/>
      <c r="G577" s="5"/>
      <c r="K577" s="64"/>
      <c r="L577" s="63"/>
      <c r="O577" s="63"/>
    </row>
    <row r="578">
      <c r="A578" s="5"/>
      <c r="E578" s="5"/>
      <c r="F578" s="74"/>
      <c r="G578" s="5"/>
      <c r="K578" s="64"/>
      <c r="L578" s="63"/>
      <c r="O578" s="63"/>
    </row>
    <row r="579">
      <c r="A579" s="5"/>
      <c r="E579" s="5"/>
      <c r="F579" s="74"/>
      <c r="G579" s="5"/>
      <c r="K579" s="64"/>
      <c r="L579" s="63"/>
      <c r="O579" s="63"/>
    </row>
    <row r="580">
      <c r="A580" s="5"/>
      <c r="E580" s="5"/>
      <c r="F580" s="74"/>
      <c r="G580" s="5"/>
      <c r="K580" s="64"/>
      <c r="L580" s="63"/>
      <c r="O580" s="63"/>
    </row>
    <row r="581">
      <c r="A581" s="5"/>
      <c r="E581" s="5"/>
      <c r="F581" s="74"/>
      <c r="G581" s="5"/>
      <c r="K581" s="64"/>
      <c r="L581" s="63"/>
      <c r="O581" s="63"/>
    </row>
    <row r="582">
      <c r="A582" s="5"/>
      <c r="E582" s="5"/>
      <c r="F582" s="74"/>
      <c r="G582" s="5"/>
      <c r="K582" s="64"/>
      <c r="L582" s="63"/>
      <c r="O582" s="63"/>
    </row>
    <row r="583">
      <c r="A583" s="5"/>
      <c r="E583" s="5"/>
      <c r="F583" s="74"/>
      <c r="G583" s="5"/>
      <c r="K583" s="64"/>
      <c r="L583" s="63"/>
      <c r="O583" s="63"/>
    </row>
    <row r="584">
      <c r="A584" s="5"/>
      <c r="E584" s="5"/>
      <c r="F584" s="74"/>
      <c r="G584" s="5"/>
      <c r="K584" s="64"/>
      <c r="L584" s="63"/>
      <c r="O584" s="63"/>
    </row>
    <row r="585">
      <c r="A585" s="5"/>
      <c r="E585" s="5"/>
      <c r="F585" s="74"/>
      <c r="G585" s="5"/>
      <c r="K585" s="64"/>
      <c r="L585" s="63"/>
      <c r="O585" s="63"/>
    </row>
    <row r="586">
      <c r="A586" s="5"/>
      <c r="E586" s="5"/>
      <c r="F586" s="74"/>
      <c r="G586" s="5"/>
      <c r="K586" s="64"/>
      <c r="L586" s="63"/>
      <c r="O586" s="63"/>
    </row>
    <row r="587">
      <c r="A587" s="5"/>
      <c r="E587" s="5"/>
      <c r="F587" s="74"/>
      <c r="G587" s="5"/>
      <c r="K587" s="64"/>
      <c r="L587" s="63"/>
      <c r="O587" s="63"/>
    </row>
    <row r="588">
      <c r="A588" s="5"/>
      <c r="E588" s="5"/>
      <c r="F588" s="74"/>
      <c r="G588" s="5"/>
      <c r="K588" s="64"/>
      <c r="L588" s="63"/>
      <c r="O588" s="63"/>
    </row>
    <row r="589">
      <c r="A589" s="5"/>
      <c r="E589" s="5"/>
      <c r="F589" s="74"/>
      <c r="G589" s="5"/>
      <c r="K589" s="64"/>
      <c r="L589" s="63"/>
      <c r="O589" s="63"/>
    </row>
    <row r="590">
      <c r="A590" s="5"/>
      <c r="E590" s="5"/>
      <c r="F590" s="74"/>
      <c r="G590" s="5"/>
      <c r="K590" s="64"/>
      <c r="L590" s="63"/>
      <c r="O590" s="63"/>
    </row>
    <row r="591">
      <c r="A591" s="5"/>
      <c r="E591" s="5"/>
      <c r="F591" s="74"/>
      <c r="G591" s="5"/>
      <c r="K591" s="64"/>
      <c r="L591" s="63"/>
      <c r="O591" s="63"/>
    </row>
    <row r="592">
      <c r="A592" s="5"/>
      <c r="E592" s="5"/>
      <c r="F592" s="74"/>
      <c r="G592" s="5"/>
      <c r="K592" s="64"/>
      <c r="L592" s="63"/>
      <c r="O592" s="63"/>
    </row>
    <row r="593">
      <c r="A593" s="5"/>
      <c r="E593" s="5"/>
      <c r="F593" s="74"/>
      <c r="G593" s="5"/>
      <c r="K593" s="64"/>
      <c r="L593" s="63"/>
      <c r="O593" s="63"/>
    </row>
    <row r="594">
      <c r="A594" s="5"/>
      <c r="E594" s="5"/>
      <c r="F594" s="74"/>
      <c r="G594" s="5"/>
      <c r="K594" s="64"/>
      <c r="L594" s="63"/>
      <c r="O594" s="63"/>
    </row>
    <row r="595">
      <c r="A595" s="5"/>
      <c r="E595" s="5"/>
      <c r="F595" s="74"/>
      <c r="G595" s="5"/>
      <c r="K595" s="64"/>
      <c r="L595" s="63"/>
      <c r="O595" s="63"/>
    </row>
    <row r="596">
      <c r="A596" s="5"/>
      <c r="E596" s="5"/>
      <c r="F596" s="74"/>
      <c r="G596" s="5"/>
      <c r="K596" s="64"/>
      <c r="L596" s="63"/>
      <c r="O596" s="63"/>
    </row>
    <row r="597">
      <c r="A597" s="5"/>
      <c r="E597" s="5"/>
      <c r="F597" s="74"/>
      <c r="G597" s="5"/>
      <c r="K597" s="64"/>
      <c r="L597" s="63"/>
      <c r="O597" s="63"/>
    </row>
    <row r="598">
      <c r="A598" s="5"/>
      <c r="E598" s="5"/>
      <c r="F598" s="74"/>
      <c r="G598" s="5"/>
      <c r="K598" s="64"/>
      <c r="L598" s="63"/>
      <c r="O598" s="63"/>
    </row>
    <row r="599">
      <c r="A599" s="5"/>
      <c r="E599" s="5"/>
      <c r="F599" s="74"/>
      <c r="G599" s="5"/>
      <c r="K599" s="64"/>
      <c r="L599" s="63"/>
      <c r="O599" s="63"/>
    </row>
    <row r="600">
      <c r="A600" s="5"/>
      <c r="E600" s="5"/>
      <c r="F600" s="74"/>
      <c r="G600" s="5"/>
      <c r="K600" s="64"/>
      <c r="L600" s="63"/>
      <c r="O600" s="63"/>
    </row>
    <row r="601">
      <c r="A601" s="5"/>
      <c r="E601" s="5"/>
      <c r="F601" s="74"/>
      <c r="G601" s="5"/>
      <c r="K601" s="64"/>
      <c r="L601" s="63"/>
      <c r="O601" s="63"/>
    </row>
    <row r="602">
      <c r="A602" s="5"/>
      <c r="E602" s="5"/>
      <c r="F602" s="74"/>
      <c r="G602" s="5"/>
      <c r="K602" s="64"/>
      <c r="L602" s="63"/>
      <c r="O602" s="63"/>
    </row>
    <row r="603">
      <c r="A603" s="5"/>
      <c r="E603" s="5"/>
      <c r="F603" s="74"/>
      <c r="G603" s="5"/>
      <c r="K603" s="64"/>
      <c r="L603" s="63"/>
      <c r="O603" s="63"/>
    </row>
    <row r="604">
      <c r="A604" s="5"/>
      <c r="E604" s="5"/>
      <c r="F604" s="74"/>
      <c r="G604" s="5"/>
      <c r="K604" s="64"/>
      <c r="L604" s="63"/>
      <c r="O604" s="63"/>
    </row>
    <row r="605">
      <c r="A605" s="5"/>
      <c r="E605" s="5"/>
      <c r="F605" s="74"/>
      <c r="G605" s="5"/>
      <c r="K605" s="64"/>
      <c r="L605" s="63"/>
      <c r="O605" s="63"/>
    </row>
    <row r="606">
      <c r="A606" s="5"/>
      <c r="E606" s="5"/>
      <c r="F606" s="74"/>
      <c r="G606" s="5"/>
      <c r="K606" s="64"/>
      <c r="L606" s="63"/>
      <c r="O606" s="63"/>
    </row>
    <row r="607">
      <c r="A607" s="5"/>
      <c r="E607" s="5"/>
      <c r="F607" s="74"/>
      <c r="G607" s="5"/>
      <c r="K607" s="64"/>
      <c r="L607" s="63"/>
      <c r="O607" s="63"/>
    </row>
    <row r="608">
      <c r="A608" s="5"/>
      <c r="E608" s="5"/>
      <c r="F608" s="74"/>
      <c r="G608" s="5"/>
      <c r="K608" s="64"/>
      <c r="L608" s="63"/>
      <c r="O608" s="63"/>
    </row>
    <row r="609">
      <c r="A609" s="5"/>
      <c r="E609" s="5"/>
      <c r="F609" s="74"/>
      <c r="G609" s="5"/>
      <c r="K609" s="64"/>
      <c r="L609" s="63"/>
      <c r="O609" s="63"/>
    </row>
    <row r="610">
      <c r="A610" s="5"/>
      <c r="E610" s="5"/>
      <c r="F610" s="74"/>
      <c r="G610" s="5"/>
      <c r="K610" s="64"/>
      <c r="L610" s="63"/>
      <c r="O610" s="63"/>
    </row>
    <row r="611">
      <c r="A611" s="5"/>
      <c r="E611" s="5"/>
      <c r="F611" s="74"/>
      <c r="G611" s="5"/>
      <c r="K611" s="64"/>
      <c r="L611" s="63"/>
      <c r="O611" s="63"/>
    </row>
    <row r="612">
      <c r="A612" s="5"/>
      <c r="E612" s="5"/>
      <c r="F612" s="74"/>
      <c r="G612" s="5"/>
      <c r="K612" s="64"/>
      <c r="L612" s="63"/>
      <c r="O612" s="63"/>
    </row>
    <row r="613">
      <c r="A613" s="5"/>
      <c r="E613" s="5"/>
      <c r="F613" s="74"/>
      <c r="G613" s="5"/>
      <c r="K613" s="64"/>
      <c r="L613" s="63"/>
      <c r="O613" s="63"/>
    </row>
    <row r="614">
      <c r="A614" s="5"/>
      <c r="E614" s="5"/>
      <c r="F614" s="74"/>
      <c r="G614" s="5"/>
      <c r="K614" s="64"/>
      <c r="L614" s="63"/>
      <c r="O614" s="63"/>
    </row>
    <row r="615">
      <c r="A615" s="5"/>
      <c r="E615" s="5"/>
      <c r="F615" s="74"/>
      <c r="G615" s="5"/>
      <c r="K615" s="64"/>
      <c r="L615" s="63"/>
      <c r="O615" s="63"/>
    </row>
    <row r="616">
      <c r="A616" s="5"/>
      <c r="E616" s="5"/>
      <c r="F616" s="74"/>
      <c r="G616" s="5"/>
      <c r="K616" s="64"/>
      <c r="L616" s="63"/>
      <c r="O616" s="63"/>
    </row>
    <row r="617">
      <c r="A617" s="5"/>
      <c r="E617" s="5"/>
      <c r="F617" s="74"/>
      <c r="G617" s="5"/>
      <c r="K617" s="64"/>
      <c r="L617" s="63"/>
      <c r="O617" s="63"/>
    </row>
    <row r="618">
      <c r="A618" s="5"/>
      <c r="E618" s="5"/>
      <c r="F618" s="74"/>
      <c r="G618" s="5"/>
      <c r="K618" s="64"/>
      <c r="L618" s="63"/>
      <c r="O618" s="63"/>
    </row>
    <row r="619">
      <c r="A619" s="5"/>
      <c r="E619" s="5"/>
      <c r="F619" s="74"/>
      <c r="G619" s="5"/>
      <c r="K619" s="64"/>
      <c r="L619" s="63"/>
      <c r="O619" s="63"/>
    </row>
    <row r="620">
      <c r="A620" s="5"/>
      <c r="E620" s="5"/>
      <c r="F620" s="74"/>
      <c r="G620" s="5"/>
      <c r="K620" s="64"/>
      <c r="L620" s="63"/>
      <c r="O620" s="63"/>
    </row>
    <row r="621">
      <c r="A621" s="5"/>
      <c r="E621" s="5"/>
      <c r="F621" s="74"/>
      <c r="G621" s="5"/>
      <c r="K621" s="64"/>
      <c r="L621" s="63"/>
      <c r="O621" s="63"/>
    </row>
    <row r="622">
      <c r="A622" s="5"/>
      <c r="E622" s="5"/>
      <c r="F622" s="74"/>
      <c r="G622" s="5"/>
      <c r="K622" s="64"/>
      <c r="L622" s="63"/>
      <c r="O622" s="63"/>
    </row>
    <row r="623">
      <c r="A623" s="5"/>
      <c r="E623" s="5"/>
      <c r="F623" s="74"/>
      <c r="G623" s="5"/>
      <c r="K623" s="64"/>
      <c r="L623" s="63"/>
      <c r="O623" s="63"/>
    </row>
    <row r="624">
      <c r="A624" s="5"/>
      <c r="E624" s="5"/>
      <c r="F624" s="74"/>
      <c r="G624" s="5"/>
      <c r="K624" s="64"/>
      <c r="L624" s="63"/>
      <c r="O624" s="63"/>
    </row>
    <row r="625">
      <c r="A625" s="5"/>
      <c r="E625" s="5"/>
      <c r="F625" s="74"/>
      <c r="G625" s="5"/>
      <c r="K625" s="64"/>
      <c r="L625" s="63"/>
      <c r="O625" s="63"/>
    </row>
    <row r="626">
      <c r="A626" s="5"/>
      <c r="E626" s="5"/>
      <c r="F626" s="74"/>
      <c r="G626" s="5"/>
      <c r="K626" s="64"/>
      <c r="L626" s="63"/>
      <c r="O626" s="63"/>
    </row>
    <row r="627">
      <c r="A627" s="5"/>
      <c r="E627" s="5"/>
      <c r="F627" s="74"/>
      <c r="G627" s="5"/>
      <c r="K627" s="64"/>
      <c r="L627" s="63"/>
      <c r="O627" s="63"/>
    </row>
    <row r="628">
      <c r="A628" s="5"/>
      <c r="E628" s="5"/>
      <c r="F628" s="74"/>
      <c r="G628" s="5"/>
      <c r="K628" s="64"/>
      <c r="L628" s="63"/>
      <c r="O628" s="63"/>
    </row>
    <row r="629">
      <c r="A629" s="5"/>
      <c r="E629" s="5"/>
      <c r="F629" s="74"/>
      <c r="G629" s="5"/>
      <c r="K629" s="64"/>
      <c r="L629" s="63"/>
      <c r="O629" s="63"/>
    </row>
    <row r="630">
      <c r="A630" s="5"/>
      <c r="E630" s="5"/>
      <c r="F630" s="74"/>
      <c r="G630" s="5"/>
      <c r="K630" s="64"/>
      <c r="L630" s="63"/>
      <c r="O630" s="63"/>
    </row>
    <row r="631">
      <c r="A631" s="5"/>
      <c r="E631" s="5"/>
      <c r="F631" s="74"/>
      <c r="G631" s="5"/>
      <c r="K631" s="64"/>
      <c r="L631" s="63"/>
      <c r="O631" s="63"/>
    </row>
    <row r="632">
      <c r="A632" s="5"/>
      <c r="E632" s="5"/>
      <c r="F632" s="74"/>
      <c r="G632" s="5"/>
      <c r="K632" s="64"/>
      <c r="L632" s="63"/>
      <c r="O632" s="63"/>
    </row>
    <row r="633">
      <c r="A633" s="5"/>
      <c r="E633" s="5"/>
      <c r="F633" s="74"/>
      <c r="G633" s="5"/>
      <c r="K633" s="64"/>
      <c r="L633" s="63"/>
      <c r="O633" s="63"/>
    </row>
    <row r="634">
      <c r="A634" s="5"/>
      <c r="E634" s="5"/>
      <c r="F634" s="74"/>
      <c r="G634" s="5"/>
      <c r="K634" s="64"/>
      <c r="L634" s="63"/>
      <c r="O634" s="63"/>
    </row>
    <row r="635">
      <c r="A635" s="5"/>
      <c r="E635" s="5"/>
      <c r="F635" s="74"/>
      <c r="G635" s="5"/>
      <c r="K635" s="64"/>
      <c r="L635" s="63"/>
      <c r="O635" s="63"/>
    </row>
    <row r="636">
      <c r="A636" s="5"/>
      <c r="E636" s="5"/>
      <c r="F636" s="74"/>
      <c r="G636" s="5"/>
      <c r="K636" s="64"/>
      <c r="L636" s="63"/>
      <c r="O636" s="63"/>
    </row>
    <row r="637">
      <c r="A637" s="5"/>
      <c r="E637" s="5"/>
      <c r="F637" s="74"/>
      <c r="G637" s="5"/>
      <c r="K637" s="64"/>
      <c r="L637" s="63"/>
      <c r="O637" s="63"/>
    </row>
    <row r="638">
      <c r="A638" s="5"/>
      <c r="E638" s="5"/>
      <c r="F638" s="74"/>
      <c r="G638" s="5"/>
      <c r="K638" s="64"/>
      <c r="L638" s="63"/>
      <c r="O638" s="63"/>
    </row>
    <row r="639">
      <c r="A639" s="5"/>
      <c r="E639" s="5"/>
      <c r="F639" s="74"/>
      <c r="G639" s="5"/>
      <c r="K639" s="64"/>
      <c r="L639" s="63"/>
      <c r="O639" s="63"/>
    </row>
    <row r="640">
      <c r="A640" s="5"/>
      <c r="E640" s="5"/>
      <c r="F640" s="74"/>
      <c r="G640" s="5"/>
      <c r="K640" s="64"/>
      <c r="L640" s="63"/>
      <c r="O640" s="63"/>
    </row>
    <row r="641">
      <c r="A641" s="5"/>
      <c r="E641" s="5"/>
      <c r="F641" s="74"/>
      <c r="G641" s="5"/>
      <c r="K641" s="64"/>
      <c r="L641" s="63"/>
      <c r="O641" s="63"/>
    </row>
    <row r="642">
      <c r="A642" s="5"/>
      <c r="E642" s="5"/>
      <c r="F642" s="74"/>
      <c r="G642" s="5"/>
      <c r="K642" s="64"/>
      <c r="L642" s="63"/>
      <c r="O642" s="63"/>
    </row>
    <row r="643">
      <c r="A643" s="5"/>
      <c r="E643" s="5"/>
      <c r="F643" s="74"/>
      <c r="G643" s="5"/>
      <c r="K643" s="64"/>
      <c r="L643" s="63"/>
      <c r="O643" s="63"/>
    </row>
    <row r="644">
      <c r="A644" s="5"/>
      <c r="E644" s="5"/>
      <c r="F644" s="74"/>
      <c r="G644" s="5"/>
      <c r="K644" s="64"/>
      <c r="L644" s="63"/>
      <c r="O644" s="63"/>
    </row>
    <row r="645">
      <c r="A645" s="5"/>
      <c r="E645" s="5"/>
      <c r="F645" s="74"/>
      <c r="G645" s="5"/>
      <c r="K645" s="64"/>
      <c r="L645" s="63"/>
      <c r="O645" s="63"/>
    </row>
    <row r="646">
      <c r="A646" s="5"/>
      <c r="E646" s="5"/>
      <c r="F646" s="74"/>
      <c r="G646" s="5"/>
      <c r="K646" s="64"/>
      <c r="L646" s="63"/>
      <c r="O646" s="63"/>
    </row>
    <row r="647">
      <c r="A647" s="5"/>
      <c r="E647" s="5"/>
      <c r="F647" s="74"/>
      <c r="G647" s="5"/>
      <c r="K647" s="64"/>
      <c r="L647" s="63"/>
      <c r="O647" s="63"/>
    </row>
    <row r="648">
      <c r="A648" s="5"/>
      <c r="E648" s="5"/>
      <c r="F648" s="74"/>
      <c r="G648" s="5"/>
      <c r="K648" s="64"/>
      <c r="L648" s="63"/>
      <c r="O648" s="63"/>
    </row>
    <row r="649">
      <c r="A649" s="5"/>
      <c r="E649" s="5"/>
      <c r="F649" s="74"/>
      <c r="G649" s="5"/>
      <c r="K649" s="64"/>
      <c r="L649" s="63"/>
      <c r="O649" s="63"/>
    </row>
    <row r="650">
      <c r="A650" s="5"/>
      <c r="E650" s="5"/>
      <c r="F650" s="74"/>
      <c r="G650" s="5"/>
      <c r="K650" s="64"/>
      <c r="L650" s="63"/>
      <c r="O650" s="63"/>
    </row>
    <row r="651">
      <c r="A651" s="5"/>
      <c r="E651" s="5"/>
      <c r="F651" s="74"/>
      <c r="G651" s="5"/>
      <c r="K651" s="64"/>
      <c r="L651" s="63"/>
      <c r="O651" s="63"/>
    </row>
    <row r="652">
      <c r="A652" s="5"/>
      <c r="E652" s="5"/>
      <c r="F652" s="74"/>
      <c r="G652" s="5"/>
      <c r="K652" s="64"/>
      <c r="L652" s="63"/>
      <c r="O652" s="63"/>
    </row>
    <row r="653">
      <c r="A653" s="5"/>
      <c r="E653" s="5"/>
      <c r="F653" s="74"/>
      <c r="G653" s="5"/>
      <c r="K653" s="64"/>
      <c r="L653" s="63"/>
      <c r="O653" s="63"/>
    </row>
    <row r="654">
      <c r="A654" s="5"/>
      <c r="E654" s="5"/>
      <c r="F654" s="74"/>
      <c r="G654" s="5"/>
      <c r="K654" s="64"/>
      <c r="L654" s="63"/>
      <c r="O654" s="63"/>
    </row>
    <row r="655">
      <c r="A655" s="5"/>
      <c r="E655" s="5"/>
      <c r="F655" s="74"/>
      <c r="G655" s="5"/>
      <c r="K655" s="64"/>
      <c r="L655" s="63"/>
      <c r="O655" s="63"/>
    </row>
    <row r="656">
      <c r="A656" s="5"/>
      <c r="E656" s="5"/>
      <c r="F656" s="74"/>
      <c r="G656" s="5"/>
      <c r="K656" s="64"/>
      <c r="L656" s="63"/>
      <c r="O656" s="63"/>
    </row>
    <row r="657">
      <c r="A657" s="5"/>
      <c r="E657" s="5"/>
      <c r="F657" s="74"/>
      <c r="G657" s="5"/>
      <c r="K657" s="64"/>
      <c r="L657" s="63"/>
      <c r="O657" s="63"/>
    </row>
    <row r="658">
      <c r="A658" s="5"/>
      <c r="E658" s="5"/>
      <c r="F658" s="74"/>
      <c r="G658" s="5"/>
      <c r="K658" s="64"/>
      <c r="L658" s="63"/>
      <c r="O658" s="63"/>
    </row>
    <row r="659">
      <c r="A659" s="5"/>
      <c r="E659" s="5"/>
      <c r="F659" s="74"/>
      <c r="G659" s="5"/>
      <c r="K659" s="64"/>
      <c r="L659" s="63"/>
      <c r="O659" s="63"/>
    </row>
    <row r="660">
      <c r="A660" s="5"/>
      <c r="E660" s="5"/>
      <c r="F660" s="74"/>
      <c r="G660" s="5"/>
      <c r="K660" s="64"/>
      <c r="L660" s="63"/>
      <c r="O660" s="63"/>
    </row>
    <row r="661">
      <c r="A661" s="5"/>
      <c r="E661" s="5"/>
      <c r="F661" s="74"/>
      <c r="G661" s="5"/>
      <c r="K661" s="64"/>
      <c r="L661" s="63"/>
      <c r="O661" s="63"/>
    </row>
    <row r="662">
      <c r="A662" s="5"/>
      <c r="E662" s="5"/>
      <c r="F662" s="74"/>
      <c r="G662" s="5"/>
      <c r="K662" s="64"/>
      <c r="L662" s="63"/>
      <c r="O662" s="63"/>
    </row>
    <row r="663">
      <c r="A663" s="5"/>
      <c r="E663" s="5"/>
      <c r="F663" s="74"/>
      <c r="G663" s="5"/>
      <c r="K663" s="64"/>
      <c r="L663" s="63"/>
      <c r="O663" s="63"/>
    </row>
    <row r="664">
      <c r="A664" s="5"/>
      <c r="E664" s="5"/>
      <c r="F664" s="74"/>
      <c r="G664" s="5"/>
      <c r="K664" s="64"/>
      <c r="L664" s="63"/>
      <c r="O664" s="63"/>
    </row>
    <row r="665">
      <c r="A665" s="5"/>
      <c r="E665" s="5"/>
      <c r="F665" s="74"/>
      <c r="G665" s="5"/>
      <c r="K665" s="64"/>
      <c r="L665" s="63"/>
      <c r="O665" s="63"/>
    </row>
    <row r="666">
      <c r="A666" s="5"/>
      <c r="E666" s="5"/>
      <c r="F666" s="74"/>
      <c r="G666" s="5"/>
      <c r="K666" s="64"/>
      <c r="L666" s="63"/>
      <c r="O666" s="63"/>
    </row>
    <row r="667">
      <c r="A667" s="5"/>
      <c r="E667" s="5"/>
      <c r="F667" s="74"/>
      <c r="G667" s="5"/>
      <c r="K667" s="64"/>
      <c r="L667" s="63"/>
      <c r="O667" s="63"/>
    </row>
    <row r="668">
      <c r="A668" s="5"/>
      <c r="E668" s="5"/>
      <c r="F668" s="74"/>
      <c r="G668" s="5"/>
      <c r="K668" s="64"/>
      <c r="L668" s="63"/>
      <c r="O668" s="63"/>
    </row>
    <row r="669">
      <c r="A669" s="5"/>
      <c r="E669" s="5"/>
      <c r="F669" s="74"/>
      <c r="G669" s="5"/>
      <c r="K669" s="64"/>
      <c r="L669" s="63"/>
      <c r="O669" s="63"/>
    </row>
    <row r="670">
      <c r="A670" s="5"/>
      <c r="E670" s="5"/>
      <c r="F670" s="74"/>
      <c r="G670" s="5"/>
      <c r="K670" s="64"/>
      <c r="L670" s="63"/>
      <c r="O670" s="63"/>
    </row>
    <row r="671">
      <c r="A671" s="5"/>
      <c r="E671" s="5"/>
      <c r="F671" s="74"/>
      <c r="G671" s="5"/>
      <c r="K671" s="64"/>
      <c r="L671" s="63"/>
      <c r="O671" s="63"/>
    </row>
    <row r="672">
      <c r="A672" s="5"/>
      <c r="E672" s="5"/>
      <c r="F672" s="74"/>
      <c r="G672" s="5"/>
      <c r="K672" s="64"/>
      <c r="L672" s="63"/>
      <c r="O672" s="63"/>
    </row>
    <row r="673">
      <c r="A673" s="5"/>
      <c r="E673" s="5"/>
      <c r="F673" s="74"/>
      <c r="G673" s="5"/>
      <c r="K673" s="64"/>
      <c r="L673" s="63"/>
      <c r="O673" s="63"/>
    </row>
    <row r="674">
      <c r="A674" s="5"/>
      <c r="E674" s="5"/>
      <c r="F674" s="74"/>
      <c r="G674" s="5"/>
      <c r="K674" s="64"/>
      <c r="L674" s="63"/>
      <c r="O674" s="63"/>
    </row>
    <row r="675">
      <c r="A675" s="5"/>
      <c r="E675" s="5"/>
      <c r="F675" s="74"/>
      <c r="G675" s="5"/>
      <c r="K675" s="64"/>
      <c r="L675" s="63"/>
      <c r="O675" s="63"/>
    </row>
    <row r="676">
      <c r="A676" s="5"/>
      <c r="E676" s="5"/>
      <c r="F676" s="74"/>
      <c r="G676" s="5"/>
      <c r="K676" s="64"/>
      <c r="L676" s="63"/>
      <c r="O676" s="63"/>
    </row>
    <row r="677">
      <c r="A677" s="5"/>
      <c r="E677" s="5"/>
      <c r="F677" s="74"/>
      <c r="G677" s="5"/>
      <c r="K677" s="64"/>
      <c r="L677" s="63"/>
      <c r="O677" s="63"/>
    </row>
    <row r="678">
      <c r="A678" s="5"/>
      <c r="E678" s="5"/>
      <c r="F678" s="74"/>
      <c r="G678" s="5"/>
      <c r="K678" s="64"/>
      <c r="L678" s="63"/>
      <c r="O678" s="63"/>
    </row>
    <row r="679">
      <c r="A679" s="5"/>
      <c r="E679" s="5"/>
      <c r="F679" s="74"/>
      <c r="G679" s="5"/>
      <c r="K679" s="64"/>
      <c r="L679" s="63"/>
      <c r="O679" s="63"/>
    </row>
    <row r="680">
      <c r="A680" s="5"/>
      <c r="E680" s="5"/>
      <c r="F680" s="74"/>
      <c r="G680" s="5"/>
      <c r="K680" s="64"/>
      <c r="L680" s="63"/>
      <c r="O680" s="63"/>
    </row>
    <row r="681">
      <c r="A681" s="5"/>
      <c r="E681" s="5"/>
      <c r="F681" s="74"/>
      <c r="G681" s="5"/>
      <c r="K681" s="64"/>
      <c r="L681" s="63"/>
      <c r="O681" s="63"/>
    </row>
    <row r="682">
      <c r="A682" s="5"/>
      <c r="E682" s="5"/>
      <c r="F682" s="74"/>
      <c r="G682" s="5"/>
      <c r="K682" s="64"/>
      <c r="L682" s="63"/>
      <c r="O682" s="63"/>
    </row>
    <row r="683">
      <c r="A683" s="5"/>
      <c r="E683" s="5"/>
      <c r="F683" s="74"/>
      <c r="G683" s="5"/>
      <c r="K683" s="64"/>
      <c r="L683" s="63"/>
      <c r="O683" s="63"/>
    </row>
    <row r="684">
      <c r="A684" s="5"/>
      <c r="E684" s="5"/>
      <c r="F684" s="74"/>
      <c r="G684" s="5"/>
      <c r="K684" s="64"/>
      <c r="L684" s="63"/>
      <c r="O684" s="63"/>
    </row>
    <row r="685">
      <c r="A685" s="5"/>
      <c r="E685" s="5"/>
      <c r="F685" s="74"/>
      <c r="G685" s="5"/>
      <c r="K685" s="64"/>
      <c r="L685" s="63"/>
      <c r="O685" s="63"/>
    </row>
    <row r="686">
      <c r="A686" s="5"/>
      <c r="E686" s="5"/>
      <c r="F686" s="74"/>
      <c r="G686" s="5"/>
      <c r="K686" s="64"/>
      <c r="L686" s="63"/>
      <c r="O686" s="63"/>
    </row>
    <row r="687">
      <c r="A687" s="5"/>
      <c r="E687" s="5"/>
      <c r="F687" s="74"/>
      <c r="G687" s="5"/>
      <c r="K687" s="64"/>
      <c r="L687" s="63"/>
      <c r="O687" s="63"/>
    </row>
    <row r="688">
      <c r="A688" s="5"/>
      <c r="E688" s="5"/>
      <c r="F688" s="74"/>
      <c r="G688" s="5"/>
      <c r="K688" s="64"/>
      <c r="L688" s="63"/>
      <c r="O688" s="63"/>
    </row>
    <row r="689">
      <c r="A689" s="5"/>
      <c r="E689" s="5"/>
      <c r="F689" s="74"/>
      <c r="G689" s="5"/>
      <c r="K689" s="64"/>
      <c r="L689" s="63"/>
      <c r="O689" s="63"/>
    </row>
    <row r="690">
      <c r="A690" s="5"/>
      <c r="E690" s="5"/>
      <c r="F690" s="74"/>
      <c r="G690" s="5"/>
      <c r="K690" s="64"/>
      <c r="L690" s="63"/>
      <c r="O690" s="63"/>
    </row>
    <row r="691">
      <c r="A691" s="5"/>
      <c r="E691" s="5"/>
      <c r="F691" s="74"/>
      <c r="G691" s="5"/>
      <c r="K691" s="64"/>
      <c r="L691" s="63"/>
      <c r="O691" s="63"/>
    </row>
    <row r="692">
      <c r="A692" s="5"/>
      <c r="E692" s="5"/>
      <c r="F692" s="74"/>
      <c r="G692" s="5"/>
      <c r="K692" s="64"/>
      <c r="L692" s="63"/>
      <c r="O692" s="63"/>
    </row>
    <row r="693">
      <c r="A693" s="5"/>
      <c r="E693" s="5"/>
      <c r="F693" s="74"/>
      <c r="G693" s="5"/>
      <c r="K693" s="64"/>
      <c r="L693" s="63"/>
      <c r="O693" s="63"/>
    </row>
    <row r="694">
      <c r="A694" s="5"/>
      <c r="E694" s="5"/>
      <c r="F694" s="74"/>
      <c r="G694" s="5"/>
      <c r="K694" s="64"/>
      <c r="L694" s="63"/>
      <c r="O694" s="63"/>
    </row>
    <row r="695">
      <c r="A695" s="5"/>
      <c r="E695" s="5"/>
      <c r="F695" s="74"/>
      <c r="G695" s="5"/>
      <c r="K695" s="64"/>
      <c r="L695" s="63"/>
      <c r="O695" s="63"/>
    </row>
    <row r="696">
      <c r="A696" s="5"/>
      <c r="E696" s="5"/>
      <c r="F696" s="74"/>
      <c r="G696" s="5"/>
      <c r="K696" s="64"/>
      <c r="L696" s="63"/>
      <c r="O696" s="63"/>
    </row>
    <row r="697">
      <c r="A697" s="5"/>
      <c r="E697" s="5"/>
      <c r="F697" s="74"/>
      <c r="G697" s="5"/>
      <c r="K697" s="64"/>
      <c r="L697" s="63"/>
      <c r="O697" s="63"/>
    </row>
    <row r="698">
      <c r="A698" s="5"/>
      <c r="E698" s="5"/>
      <c r="F698" s="74"/>
      <c r="G698" s="5"/>
      <c r="K698" s="64"/>
      <c r="L698" s="63"/>
      <c r="O698" s="63"/>
    </row>
    <row r="699">
      <c r="A699" s="5"/>
      <c r="E699" s="5"/>
      <c r="F699" s="74"/>
      <c r="G699" s="5"/>
      <c r="K699" s="64"/>
      <c r="L699" s="63"/>
      <c r="O699" s="63"/>
    </row>
    <row r="700">
      <c r="A700" s="5"/>
      <c r="E700" s="5"/>
      <c r="F700" s="74"/>
      <c r="G700" s="5"/>
      <c r="K700" s="64"/>
      <c r="L700" s="63"/>
      <c r="O700" s="63"/>
    </row>
    <row r="701">
      <c r="A701" s="5"/>
      <c r="E701" s="5"/>
      <c r="F701" s="74"/>
      <c r="G701" s="5"/>
      <c r="K701" s="64"/>
      <c r="L701" s="63"/>
      <c r="O701" s="63"/>
    </row>
    <row r="702">
      <c r="A702" s="5"/>
      <c r="E702" s="5"/>
      <c r="F702" s="74"/>
      <c r="G702" s="5"/>
      <c r="K702" s="64"/>
      <c r="L702" s="63"/>
      <c r="O702" s="63"/>
    </row>
    <row r="703">
      <c r="A703" s="5"/>
      <c r="E703" s="5"/>
      <c r="F703" s="74"/>
      <c r="G703" s="5"/>
      <c r="K703" s="64"/>
      <c r="L703" s="63"/>
      <c r="O703" s="63"/>
    </row>
    <row r="704">
      <c r="A704" s="5"/>
      <c r="E704" s="5"/>
      <c r="F704" s="74"/>
      <c r="G704" s="5"/>
      <c r="K704" s="64"/>
      <c r="L704" s="63"/>
      <c r="O704" s="63"/>
    </row>
    <row r="705">
      <c r="A705" s="5"/>
      <c r="E705" s="5"/>
      <c r="F705" s="74"/>
      <c r="G705" s="5"/>
      <c r="K705" s="64"/>
      <c r="L705" s="63"/>
      <c r="O705" s="63"/>
    </row>
    <row r="706">
      <c r="A706" s="5"/>
      <c r="E706" s="5"/>
      <c r="F706" s="74"/>
      <c r="G706" s="5"/>
      <c r="K706" s="64"/>
      <c r="L706" s="63"/>
      <c r="O706" s="63"/>
    </row>
    <row r="707">
      <c r="A707" s="5"/>
      <c r="E707" s="5"/>
      <c r="F707" s="74"/>
      <c r="G707" s="5"/>
      <c r="K707" s="64"/>
      <c r="L707" s="63"/>
      <c r="O707" s="63"/>
    </row>
    <row r="708">
      <c r="A708" s="5"/>
      <c r="E708" s="5"/>
      <c r="F708" s="74"/>
      <c r="G708" s="5"/>
      <c r="K708" s="64"/>
      <c r="L708" s="63"/>
      <c r="O708" s="63"/>
    </row>
    <row r="709">
      <c r="A709" s="5"/>
      <c r="E709" s="5"/>
      <c r="F709" s="74"/>
      <c r="G709" s="5"/>
      <c r="K709" s="64"/>
      <c r="L709" s="63"/>
      <c r="O709" s="63"/>
    </row>
    <row r="710">
      <c r="A710" s="5"/>
      <c r="E710" s="5"/>
      <c r="F710" s="74"/>
      <c r="G710" s="5"/>
      <c r="K710" s="64"/>
      <c r="L710" s="63"/>
      <c r="O710" s="63"/>
    </row>
    <row r="711">
      <c r="A711" s="5"/>
      <c r="E711" s="5"/>
      <c r="F711" s="74"/>
      <c r="G711" s="5"/>
      <c r="K711" s="64"/>
      <c r="L711" s="63"/>
      <c r="O711" s="63"/>
    </row>
    <row r="712">
      <c r="A712" s="5"/>
      <c r="E712" s="5"/>
      <c r="F712" s="74"/>
      <c r="G712" s="5"/>
      <c r="K712" s="64"/>
      <c r="L712" s="63"/>
      <c r="O712" s="63"/>
    </row>
    <row r="713">
      <c r="A713" s="5"/>
      <c r="E713" s="5"/>
      <c r="F713" s="74"/>
      <c r="G713" s="5"/>
      <c r="K713" s="64"/>
      <c r="L713" s="63"/>
      <c r="O713" s="63"/>
    </row>
    <row r="714">
      <c r="A714" s="5"/>
      <c r="E714" s="5"/>
      <c r="F714" s="74"/>
      <c r="G714" s="5"/>
      <c r="K714" s="64"/>
      <c r="L714" s="63"/>
      <c r="O714" s="63"/>
    </row>
    <row r="715">
      <c r="A715" s="5"/>
      <c r="E715" s="5"/>
      <c r="F715" s="74"/>
      <c r="G715" s="5"/>
      <c r="K715" s="64"/>
      <c r="L715" s="63"/>
      <c r="O715" s="63"/>
    </row>
    <row r="716">
      <c r="A716" s="5"/>
      <c r="E716" s="5"/>
      <c r="F716" s="74"/>
      <c r="G716" s="5"/>
      <c r="K716" s="64"/>
      <c r="L716" s="63"/>
      <c r="O716" s="63"/>
    </row>
    <row r="717">
      <c r="A717" s="5"/>
      <c r="E717" s="5"/>
      <c r="F717" s="74"/>
      <c r="G717" s="5"/>
      <c r="K717" s="64"/>
      <c r="L717" s="63"/>
      <c r="O717" s="63"/>
    </row>
    <row r="718">
      <c r="A718" s="5"/>
      <c r="E718" s="5"/>
      <c r="F718" s="74"/>
      <c r="G718" s="5"/>
      <c r="K718" s="64"/>
      <c r="L718" s="63"/>
      <c r="O718" s="63"/>
    </row>
    <row r="719">
      <c r="A719" s="5"/>
      <c r="E719" s="5"/>
      <c r="F719" s="74"/>
      <c r="G719" s="5"/>
      <c r="K719" s="64"/>
      <c r="L719" s="63"/>
      <c r="O719" s="63"/>
    </row>
    <row r="720">
      <c r="A720" s="5"/>
      <c r="E720" s="5"/>
      <c r="F720" s="74"/>
      <c r="G720" s="5"/>
      <c r="K720" s="64"/>
      <c r="L720" s="63"/>
      <c r="O720" s="63"/>
    </row>
    <row r="721">
      <c r="A721" s="5"/>
      <c r="E721" s="5"/>
      <c r="F721" s="74"/>
      <c r="G721" s="5"/>
      <c r="K721" s="64"/>
      <c r="L721" s="63"/>
      <c r="O721" s="63"/>
    </row>
    <row r="722">
      <c r="A722" s="5"/>
      <c r="E722" s="5"/>
      <c r="F722" s="74"/>
      <c r="G722" s="5"/>
      <c r="K722" s="64"/>
      <c r="L722" s="63"/>
      <c r="O722" s="63"/>
    </row>
    <row r="723">
      <c r="A723" s="5"/>
      <c r="E723" s="5"/>
      <c r="F723" s="74"/>
      <c r="G723" s="5"/>
      <c r="K723" s="64"/>
      <c r="L723" s="63"/>
      <c r="O723" s="63"/>
    </row>
    <row r="724">
      <c r="A724" s="5"/>
      <c r="E724" s="5"/>
      <c r="F724" s="74"/>
      <c r="G724" s="5"/>
      <c r="K724" s="64"/>
      <c r="L724" s="63"/>
      <c r="O724" s="63"/>
    </row>
    <row r="725">
      <c r="A725" s="5"/>
      <c r="E725" s="5"/>
      <c r="F725" s="74"/>
      <c r="G725" s="5"/>
      <c r="K725" s="64"/>
      <c r="L725" s="63"/>
      <c r="O725" s="63"/>
    </row>
    <row r="726">
      <c r="A726" s="5"/>
      <c r="E726" s="5"/>
      <c r="F726" s="74"/>
      <c r="G726" s="5"/>
      <c r="K726" s="64"/>
      <c r="L726" s="63"/>
      <c r="O726" s="63"/>
    </row>
    <row r="727">
      <c r="A727" s="5"/>
      <c r="E727" s="5"/>
      <c r="F727" s="74"/>
      <c r="G727" s="5"/>
      <c r="K727" s="64"/>
      <c r="L727" s="63"/>
      <c r="O727" s="63"/>
    </row>
    <row r="728">
      <c r="A728" s="5"/>
      <c r="E728" s="5"/>
      <c r="F728" s="74"/>
      <c r="G728" s="5"/>
      <c r="K728" s="64"/>
      <c r="L728" s="63"/>
      <c r="O728" s="63"/>
    </row>
    <row r="729">
      <c r="A729" s="5"/>
      <c r="E729" s="5"/>
      <c r="F729" s="74"/>
      <c r="G729" s="5"/>
      <c r="K729" s="64"/>
      <c r="L729" s="63"/>
      <c r="O729" s="63"/>
    </row>
    <row r="730">
      <c r="A730" s="5"/>
      <c r="E730" s="5"/>
      <c r="F730" s="74"/>
      <c r="G730" s="5"/>
      <c r="K730" s="64"/>
      <c r="L730" s="63"/>
      <c r="O730" s="63"/>
    </row>
    <row r="731">
      <c r="A731" s="5"/>
      <c r="E731" s="5"/>
      <c r="F731" s="74"/>
      <c r="G731" s="5"/>
      <c r="K731" s="64"/>
      <c r="L731" s="63"/>
      <c r="O731" s="63"/>
    </row>
    <row r="732">
      <c r="A732" s="5"/>
      <c r="E732" s="5"/>
      <c r="F732" s="74"/>
      <c r="G732" s="5"/>
      <c r="K732" s="64"/>
      <c r="L732" s="63"/>
      <c r="O732" s="63"/>
    </row>
    <row r="733">
      <c r="A733" s="5"/>
      <c r="E733" s="5"/>
      <c r="F733" s="74"/>
      <c r="G733" s="5"/>
      <c r="K733" s="64"/>
      <c r="L733" s="63"/>
      <c r="O733" s="63"/>
    </row>
    <row r="734">
      <c r="A734" s="5"/>
      <c r="E734" s="5"/>
      <c r="F734" s="74"/>
      <c r="G734" s="5"/>
      <c r="K734" s="64"/>
      <c r="L734" s="63"/>
      <c r="O734" s="63"/>
    </row>
    <row r="735">
      <c r="A735" s="5"/>
      <c r="E735" s="5"/>
      <c r="F735" s="74"/>
      <c r="G735" s="5"/>
      <c r="K735" s="64"/>
      <c r="L735" s="63"/>
      <c r="O735" s="63"/>
    </row>
    <row r="736">
      <c r="A736" s="5"/>
      <c r="E736" s="5"/>
      <c r="F736" s="74"/>
      <c r="G736" s="5"/>
      <c r="K736" s="64"/>
      <c r="L736" s="63"/>
      <c r="O736" s="63"/>
    </row>
    <row r="737">
      <c r="A737" s="5"/>
      <c r="E737" s="5"/>
      <c r="F737" s="74"/>
      <c r="G737" s="5"/>
      <c r="K737" s="64"/>
      <c r="L737" s="63"/>
      <c r="O737" s="63"/>
    </row>
    <row r="738">
      <c r="A738" s="5"/>
      <c r="E738" s="5"/>
      <c r="F738" s="74"/>
      <c r="G738" s="5"/>
      <c r="K738" s="64"/>
      <c r="L738" s="63"/>
      <c r="O738" s="63"/>
    </row>
    <row r="739">
      <c r="A739" s="5"/>
      <c r="E739" s="5"/>
      <c r="F739" s="74"/>
      <c r="G739" s="5"/>
      <c r="K739" s="64"/>
      <c r="L739" s="63"/>
      <c r="O739" s="63"/>
    </row>
    <row r="740">
      <c r="A740" s="5"/>
      <c r="E740" s="5"/>
      <c r="F740" s="74"/>
      <c r="G740" s="5"/>
      <c r="K740" s="64"/>
      <c r="L740" s="63"/>
      <c r="O740" s="63"/>
    </row>
    <row r="741">
      <c r="A741" s="5"/>
      <c r="E741" s="5"/>
      <c r="F741" s="74"/>
      <c r="G741" s="5"/>
      <c r="K741" s="64"/>
      <c r="L741" s="63"/>
      <c r="O741" s="63"/>
    </row>
    <row r="742">
      <c r="A742" s="5"/>
      <c r="E742" s="5"/>
      <c r="F742" s="74"/>
      <c r="G742" s="5"/>
      <c r="K742" s="64"/>
      <c r="L742" s="63"/>
      <c r="O742" s="63"/>
    </row>
    <row r="743">
      <c r="A743" s="5"/>
      <c r="E743" s="5"/>
      <c r="F743" s="74"/>
      <c r="G743" s="5"/>
      <c r="K743" s="64"/>
      <c r="L743" s="63"/>
      <c r="O743" s="63"/>
    </row>
    <row r="744">
      <c r="A744" s="5"/>
      <c r="E744" s="5"/>
      <c r="F744" s="74"/>
      <c r="G744" s="5"/>
      <c r="K744" s="64"/>
      <c r="L744" s="63"/>
      <c r="O744" s="63"/>
    </row>
    <row r="745">
      <c r="A745" s="5"/>
      <c r="E745" s="5"/>
      <c r="F745" s="74"/>
      <c r="G745" s="5"/>
      <c r="K745" s="64"/>
      <c r="L745" s="63"/>
      <c r="O745" s="63"/>
    </row>
    <row r="746">
      <c r="A746" s="5"/>
      <c r="E746" s="5"/>
      <c r="F746" s="74"/>
      <c r="G746" s="5"/>
      <c r="K746" s="64"/>
      <c r="L746" s="63"/>
      <c r="O746" s="63"/>
    </row>
    <row r="747">
      <c r="A747" s="5"/>
      <c r="E747" s="5"/>
      <c r="F747" s="74"/>
      <c r="G747" s="5"/>
      <c r="K747" s="64"/>
      <c r="L747" s="63"/>
      <c r="O747" s="63"/>
    </row>
    <row r="748">
      <c r="A748" s="5"/>
      <c r="E748" s="5"/>
      <c r="F748" s="74"/>
      <c r="G748" s="5"/>
      <c r="K748" s="64"/>
      <c r="L748" s="63"/>
      <c r="O748" s="63"/>
    </row>
    <row r="749">
      <c r="A749" s="5"/>
      <c r="E749" s="5"/>
      <c r="F749" s="74"/>
      <c r="G749" s="5"/>
      <c r="K749" s="64"/>
      <c r="L749" s="63"/>
      <c r="O749" s="63"/>
    </row>
    <row r="750">
      <c r="A750" s="5"/>
      <c r="E750" s="5"/>
      <c r="F750" s="74"/>
      <c r="G750" s="5"/>
      <c r="K750" s="64"/>
      <c r="L750" s="63"/>
      <c r="O750" s="63"/>
    </row>
    <row r="751">
      <c r="A751" s="5"/>
      <c r="E751" s="5"/>
      <c r="F751" s="74"/>
      <c r="G751" s="5"/>
      <c r="K751" s="64"/>
      <c r="L751" s="63"/>
      <c r="O751" s="63"/>
    </row>
    <row r="752">
      <c r="A752" s="5"/>
      <c r="E752" s="5"/>
      <c r="F752" s="74"/>
      <c r="G752" s="5"/>
      <c r="K752" s="64"/>
      <c r="L752" s="63"/>
      <c r="O752" s="63"/>
    </row>
    <row r="753">
      <c r="A753" s="5"/>
      <c r="E753" s="5"/>
      <c r="F753" s="74"/>
      <c r="G753" s="5"/>
      <c r="K753" s="64"/>
      <c r="L753" s="63"/>
      <c r="O753" s="63"/>
    </row>
    <row r="754">
      <c r="A754" s="5"/>
      <c r="E754" s="5"/>
      <c r="F754" s="74"/>
      <c r="G754" s="5"/>
      <c r="K754" s="64"/>
      <c r="L754" s="63"/>
      <c r="O754" s="63"/>
    </row>
    <row r="755">
      <c r="A755" s="5"/>
      <c r="E755" s="5"/>
      <c r="F755" s="74"/>
      <c r="G755" s="5"/>
      <c r="K755" s="64"/>
      <c r="L755" s="63"/>
      <c r="O755" s="63"/>
    </row>
    <row r="756">
      <c r="A756" s="5"/>
      <c r="E756" s="5"/>
      <c r="F756" s="74"/>
      <c r="G756" s="5"/>
      <c r="K756" s="64"/>
      <c r="L756" s="63"/>
      <c r="O756" s="63"/>
    </row>
    <row r="757">
      <c r="A757" s="5"/>
      <c r="E757" s="5"/>
      <c r="F757" s="74"/>
      <c r="G757" s="5"/>
      <c r="K757" s="64"/>
      <c r="L757" s="63"/>
      <c r="O757" s="63"/>
    </row>
    <row r="758">
      <c r="A758" s="5"/>
      <c r="E758" s="5"/>
      <c r="F758" s="74"/>
      <c r="G758" s="5"/>
      <c r="K758" s="64"/>
      <c r="L758" s="63"/>
      <c r="O758" s="63"/>
    </row>
    <row r="759">
      <c r="A759" s="5"/>
      <c r="E759" s="5"/>
      <c r="F759" s="74"/>
      <c r="G759" s="5"/>
      <c r="K759" s="64"/>
      <c r="L759" s="63"/>
      <c r="O759" s="63"/>
    </row>
    <row r="760">
      <c r="A760" s="5"/>
      <c r="E760" s="5"/>
      <c r="F760" s="74"/>
      <c r="G760" s="5"/>
      <c r="K760" s="64"/>
      <c r="L760" s="63"/>
      <c r="O760" s="63"/>
    </row>
    <row r="761">
      <c r="A761" s="5"/>
      <c r="E761" s="5"/>
      <c r="F761" s="74"/>
      <c r="G761" s="5"/>
      <c r="K761" s="64"/>
      <c r="L761" s="63"/>
      <c r="O761" s="63"/>
    </row>
    <row r="762">
      <c r="A762" s="5"/>
      <c r="E762" s="5"/>
      <c r="F762" s="74"/>
      <c r="G762" s="5"/>
      <c r="K762" s="64"/>
      <c r="L762" s="63"/>
      <c r="O762" s="63"/>
    </row>
    <row r="763">
      <c r="A763" s="5"/>
      <c r="E763" s="5"/>
      <c r="F763" s="74"/>
      <c r="G763" s="5"/>
      <c r="K763" s="64"/>
      <c r="L763" s="63"/>
      <c r="O763" s="63"/>
    </row>
    <row r="764">
      <c r="A764" s="5"/>
      <c r="E764" s="5"/>
      <c r="F764" s="74"/>
      <c r="G764" s="5"/>
      <c r="K764" s="64"/>
      <c r="L764" s="63"/>
      <c r="O764" s="63"/>
    </row>
    <row r="765">
      <c r="A765" s="5"/>
      <c r="E765" s="5"/>
      <c r="F765" s="74"/>
      <c r="G765" s="5"/>
      <c r="K765" s="64"/>
      <c r="L765" s="63"/>
      <c r="O765" s="63"/>
    </row>
    <row r="766">
      <c r="A766" s="5"/>
      <c r="E766" s="5"/>
      <c r="F766" s="74"/>
      <c r="G766" s="5"/>
      <c r="K766" s="64"/>
      <c r="L766" s="63"/>
      <c r="O766" s="63"/>
    </row>
    <row r="767">
      <c r="A767" s="5"/>
      <c r="E767" s="5"/>
      <c r="F767" s="74"/>
      <c r="G767" s="5"/>
      <c r="K767" s="64"/>
      <c r="L767" s="63"/>
      <c r="O767" s="63"/>
    </row>
    <row r="768">
      <c r="A768" s="5"/>
      <c r="E768" s="5"/>
      <c r="F768" s="74"/>
      <c r="G768" s="5"/>
      <c r="K768" s="64"/>
      <c r="L768" s="63"/>
      <c r="O768" s="63"/>
    </row>
    <row r="769">
      <c r="A769" s="5"/>
      <c r="E769" s="5"/>
      <c r="F769" s="74"/>
      <c r="G769" s="5"/>
      <c r="K769" s="64"/>
      <c r="L769" s="63"/>
      <c r="O769" s="63"/>
    </row>
    <row r="770">
      <c r="A770" s="5"/>
      <c r="E770" s="5"/>
      <c r="F770" s="74"/>
      <c r="G770" s="5"/>
      <c r="K770" s="64"/>
      <c r="L770" s="63"/>
      <c r="O770" s="63"/>
    </row>
    <row r="771">
      <c r="A771" s="5"/>
      <c r="E771" s="5"/>
      <c r="F771" s="74"/>
      <c r="G771" s="5"/>
      <c r="K771" s="64"/>
      <c r="L771" s="63"/>
      <c r="O771" s="63"/>
    </row>
    <row r="772">
      <c r="A772" s="5"/>
      <c r="E772" s="5"/>
      <c r="F772" s="74"/>
      <c r="G772" s="5"/>
      <c r="K772" s="64"/>
      <c r="L772" s="63"/>
      <c r="O772" s="63"/>
    </row>
    <row r="773">
      <c r="A773" s="5"/>
      <c r="E773" s="5"/>
      <c r="F773" s="74"/>
      <c r="G773" s="5"/>
      <c r="K773" s="64"/>
      <c r="L773" s="63"/>
      <c r="O773" s="63"/>
    </row>
    <row r="774">
      <c r="A774" s="5"/>
      <c r="E774" s="5"/>
      <c r="F774" s="74"/>
      <c r="G774" s="5"/>
      <c r="K774" s="64"/>
      <c r="L774" s="63"/>
      <c r="O774" s="63"/>
    </row>
    <row r="775">
      <c r="A775" s="5"/>
      <c r="E775" s="5"/>
      <c r="F775" s="74"/>
      <c r="G775" s="5"/>
      <c r="K775" s="64"/>
      <c r="L775" s="63"/>
      <c r="O775" s="63"/>
    </row>
    <row r="776">
      <c r="A776" s="5"/>
      <c r="E776" s="5"/>
      <c r="F776" s="74"/>
      <c r="G776" s="5"/>
      <c r="K776" s="64"/>
      <c r="L776" s="63"/>
      <c r="O776" s="63"/>
    </row>
    <row r="777">
      <c r="A777" s="5"/>
      <c r="E777" s="5"/>
      <c r="F777" s="74"/>
      <c r="G777" s="5"/>
      <c r="K777" s="64"/>
      <c r="L777" s="63"/>
      <c r="O777" s="63"/>
    </row>
    <row r="778">
      <c r="A778" s="5"/>
      <c r="E778" s="5"/>
      <c r="F778" s="74"/>
      <c r="G778" s="5"/>
      <c r="K778" s="64"/>
      <c r="L778" s="63"/>
      <c r="O778" s="63"/>
    </row>
    <row r="779">
      <c r="A779" s="5"/>
      <c r="E779" s="5"/>
      <c r="F779" s="74"/>
      <c r="G779" s="5"/>
      <c r="K779" s="64"/>
      <c r="L779" s="63"/>
      <c r="O779" s="63"/>
    </row>
    <row r="780">
      <c r="A780" s="5"/>
      <c r="E780" s="5"/>
      <c r="F780" s="74"/>
      <c r="G780" s="5"/>
      <c r="K780" s="64"/>
      <c r="L780" s="63"/>
      <c r="O780" s="63"/>
    </row>
    <row r="781">
      <c r="A781" s="5"/>
      <c r="E781" s="5"/>
      <c r="F781" s="74"/>
      <c r="G781" s="5"/>
      <c r="K781" s="64"/>
      <c r="L781" s="63"/>
      <c r="O781" s="63"/>
    </row>
    <row r="782">
      <c r="A782" s="5"/>
      <c r="E782" s="5"/>
      <c r="F782" s="74"/>
      <c r="G782" s="5"/>
      <c r="K782" s="64"/>
      <c r="L782" s="63"/>
      <c r="O782" s="63"/>
    </row>
    <row r="783">
      <c r="A783" s="5"/>
      <c r="E783" s="5"/>
      <c r="F783" s="74"/>
      <c r="G783" s="5"/>
      <c r="K783" s="64"/>
      <c r="L783" s="63"/>
      <c r="O783" s="63"/>
    </row>
    <row r="784">
      <c r="A784" s="5"/>
      <c r="E784" s="5"/>
      <c r="F784" s="74"/>
      <c r="G784" s="5"/>
      <c r="K784" s="64"/>
      <c r="L784" s="63"/>
      <c r="O784" s="63"/>
    </row>
    <row r="785">
      <c r="A785" s="5"/>
      <c r="E785" s="5"/>
      <c r="F785" s="74"/>
      <c r="G785" s="5"/>
      <c r="K785" s="64"/>
      <c r="L785" s="63"/>
      <c r="O785" s="63"/>
    </row>
    <row r="786">
      <c r="A786" s="5"/>
      <c r="E786" s="5"/>
      <c r="F786" s="74"/>
      <c r="G786" s="5"/>
      <c r="K786" s="64"/>
      <c r="L786" s="63"/>
      <c r="O786" s="63"/>
    </row>
    <row r="787">
      <c r="A787" s="5"/>
      <c r="E787" s="5"/>
      <c r="F787" s="74"/>
      <c r="G787" s="5"/>
      <c r="K787" s="64"/>
      <c r="L787" s="63"/>
      <c r="O787" s="63"/>
    </row>
    <row r="788">
      <c r="A788" s="5"/>
      <c r="E788" s="5"/>
      <c r="F788" s="74"/>
      <c r="G788" s="5"/>
      <c r="K788" s="64"/>
      <c r="L788" s="63"/>
      <c r="O788" s="63"/>
    </row>
    <row r="789">
      <c r="A789" s="5"/>
      <c r="E789" s="5"/>
      <c r="F789" s="74"/>
      <c r="G789" s="5"/>
      <c r="K789" s="64"/>
      <c r="L789" s="63"/>
      <c r="O789" s="63"/>
    </row>
    <row r="790">
      <c r="A790" s="5"/>
      <c r="E790" s="5"/>
      <c r="F790" s="74"/>
      <c r="G790" s="5"/>
      <c r="K790" s="64"/>
      <c r="L790" s="63"/>
      <c r="O790" s="63"/>
    </row>
    <row r="791">
      <c r="A791" s="5"/>
      <c r="E791" s="5"/>
      <c r="F791" s="74"/>
      <c r="G791" s="5"/>
      <c r="K791" s="64"/>
      <c r="L791" s="63"/>
      <c r="O791" s="63"/>
    </row>
    <row r="792">
      <c r="A792" s="5"/>
      <c r="E792" s="5"/>
      <c r="F792" s="74"/>
      <c r="G792" s="5"/>
      <c r="K792" s="64"/>
      <c r="L792" s="63"/>
      <c r="O792" s="63"/>
    </row>
    <row r="793">
      <c r="A793" s="5"/>
      <c r="E793" s="5"/>
      <c r="F793" s="74"/>
      <c r="G793" s="5"/>
      <c r="K793" s="64"/>
      <c r="L793" s="63"/>
      <c r="O793" s="63"/>
    </row>
    <row r="794">
      <c r="A794" s="5"/>
      <c r="E794" s="5"/>
      <c r="F794" s="74"/>
      <c r="G794" s="5"/>
      <c r="K794" s="64"/>
      <c r="L794" s="63"/>
      <c r="O794" s="63"/>
    </row>
    <row r="795">
      <c r="A795" s="5"/>
      <c r="E795" s="5"/>
      <c r="F795" s="74"/>
      <c r="G795" s="5"/>
      <c r="K795" s="64"/>
      <c r="L795" s="63"/>
      <c r="O795" s="63"/>
    </row>
    <row r="796">
      <c r="A796" s="5"/>
      <c r="E796" s="5"/>
      <c r="F796" s="74"/>
      <c r="G796" s="5"/>
      <c r="K796" s="64"/>
      <c r="L796" s="63"/>
      <c r="O796" s="63"/>
    </row>
    <row r="797">
      <c r="A797" s="5"/>
      <c r="E797" s="5"/>
      <c r="F797" s="74"/>
      <c r="G797" s="5"/>
      <c r="K797" s="64"/>
      <c r="L797" s="63"/>
      <c r="O797" s="63"/>
    </row>
    <row r="798">
      <c r="A798" s="5"/>
      <c r="E798" s="5"/>
      <c r="F798" s="74"/>
      <c r="G798" s="5"/>
      <c r="K798" s="64"/>
      <c r="L798" s="63"/>
      <c r="O798" s="63"/>
    </row>
    <row r="799">
      <c r="A799" s="5"/>
      <c r="E799" s="5"/>
      <c r="F799" s="74"/>
      <c r="G799" s="5"/>
      <c r="K799" s="64"/>
      <c r="L799" s="63"/>
      <c r="O799" s="63"/>
    </row>
    <row r="800">
      <c r="A800" s="5"/>
      <c r="E800" s="5"/>
      <c r="F800" s="74"/>
      <c r="G800" s="5"/>
      <c r="K800" s="64"/>
      <c r="L800" s="63"/>
      <c r="O800" s="63"/>
    </row>
    <row r="801">
      <c r="A801" s="5"/>
      <c r="E801" s="5"/>
      <c r="F801" s="74"/>
      <c r="G801" s="5"/>
      <c r="K801" s="64"/>
      <c r="L801" s="63"/>
      <c r="O801" s="63"/>
    </row>
    <row r="802">
      <c r="A802" s="5"/>
      <c r="E802" s="5"/>
      <c r="F802" s="74"/>
      <c r="G802" s="5"/>
      <c r="K802" s="64"/>
      <c r="L802" s="63"/>
      <c r="O802" s="63"/>
    </row>
    <row r="803">
      <c r="A803" s="5"/>
      <c r="E803" s="5"/>
      <c r="F803" s="74"/>
      <c r="G803" s="5"/>
      <c r="K803" s="64"/>
      <c r="L803" s="63"/>
      <c r="O803" s="63"/>
    </row>
    <row r="804">
      <c r="A804" s="5"/>
      <c r="E804" s="5"/>
      <c r="F804" s="74"/>
      <c r="G804" s="5"/>
      <c r="K804" s="64"/>
      <c r="L804" s="63"/>
      <c r="O804" s="63"/>
    </row>
    <row r="805">
      <c r="A805" s="5"/>
      <c r="E805" s="5"/>
      <c r="F805" s="74"/>
      <c r="G805" s="5"/>
      <c r="K805" s="64"/>
      <c r="L805" s="63"/>
      <c r="O805" s="63"/>
    </row>
    <row r="806">
      <c r="A806" s="5"/>
      <c r="E806" s="5"/>
      <c r="F806" s="74"/>
      <c r="G806" s="5"/>
      <c r="K806" s="64"/>
      <c r="L806" s="63"/>
      <c r="O806" s="63"/>
    </row>
    <row r="807">
      <c r="A807" s="5"/>
      <c r="E807" s="5"/>
      <c r="F807" s="74"/>
      <c r="G807" s="5"/>
      <c r="K807" s="64"/>
      <c r="L807" s="63"/>
      <c r="O807" s="63"/>
    </row>
    <row r="808">
      <c r="A808" s="5"/>
      <c r="E808" s="5"/>
      <c r="F808" s="74"/>
      <c r="G808" s="5"/>
      <c r="K808" s="64"/>
      <c r="L808" s="63"/>
      <c r="O808" s="63"/>
    </row>
    <row r="809">
      <c r="A809" s="5"/>
      <c r="E809" s="5"/>
      <c r="F809" s="74"/>
      <c r="G809" s="5"/>
      <c r="K809" s="64"/>
      <c r="L809" s="63"/>
      <c r="O809" s="63"/>
    </row>
    <row r="810">
      <c r="A810" s="5"/>
      <c r="E810" s="5"/>
      <c r="F810" s="74"/>
      <c r="G810" s="5"/>
      <c r="K810" s="64"/>
      <c r="L810" s="63"/>
      <c r="O810" s="63"/>
    </row>
    <row r="811">
      <c r="A811" s="5"/>
      <c r="E811" s="5"/>
      <c r="F811" s="74"/>
      <c r="G811" s="5"/>
      <c r="K811" s="64"/>
      <c r="L811" s="63"/>
      <c r="O811" s="63"/>
    </row>
    <row r="812">
      <c r="A812" s="5"/>
      <c r="E812" s="5"/>
      <c r="F812" s="74"/>
      <c r="G812" s="5"/>
      <c r="K812" s="64"/>
      <c r="L812" s="63"/>
      <c r="O812" s="63"/>
    </row>
    <row r="813">
      <c r="A813" s="5"/>
      <c r="E813" s="5"/>
      <c r="F813" s="74"/>
      <c r="G813" s="5"/>
      <c r="K813" s="64"/>
      <c r="L813" s="63"/>
      <c r="O813" s="63"/>
    </row>
    <row r="814">
      <c r="A814" s="5"/>
      <c r="E814" s="5"/>
      <c r="F814" s="74"/>
      <c r="G814" s="5"/>
      <c r="K814" s="64"/>
      <c r="L814" s="63"/>
      <c r="O814" s="63"/>
    </row>
    <row r="815">
      <c r="A815" s="5"/>
      <c r="E815" s="5"/>
      <c r="F815" s="74"/>
      <c r="G815" s="5"/>
      <c r="K815" s="64"/>
      <c r="L815" s="63"/>
      <c r="O815" s="63"/>
    </row>
    <row r="816">
      <c r="A816" s="5"/>
      <c r="E816" s="5"/>
      <c r="F816" s="74"/>
      <c r="G816" s="5"/>
      <c r="K816" s="64"/>
      <c r="L816" s="63"/>
      <c r="O816" s="63"/>
    </row>
    <row r="817">
      <c r="A817" s="5"/>
      <c r="E817" s="5"/>
      <c r="F817" s="74"/>
      <c r="G817" s="5"/>
      <c r="K817" s="64"/>
      <c r="L817" s="63"/>
      <c r="O817" s="63"/>
    </row>
    <row r="818">
      <c r="A818" s="5"/>
      <c r="E818" s="5"/>
      <c r="F818" s="74"/>
      <c r="G818" s="5"/>
      <c r="K818" s="64"/>
      <c r="L818" s="63"/>
      <c r="O818" s="63"/>
    </row>
    <row r="819">
      <c r="A819" s="5"/>
      <c r="E819" s="5"/>
      <c r="F819" s="74"/>
      <c r="G819" s="5"/>
      <c r="K819" s="64"/>
      <c r="L819" s="63"/>
      <c r="O819" s="63"/>
    </row>
    <row r="820">
      <c r="A820" s="5"/>
      <c r="E820" s="5"/>
      <c r="F820" s="74"/>
      <c r="G820" s="5"/>
      <c r="K820" s="64"/>
      <c r="L820" s="63"/>
      <c r="O820" s="63"/>
    </row>
    <row r="821">
      <c r="A821" s="5"/>
      <c r="E821" s="5"/>
      <c r="F821" s="74"/>
      <c r="G821" s="5"/>
      <c r="K821" s="64"/>
      <c r="L821" s="63"/>
      <c r="O821" s="63"/>
    </row>
    <row r="822">
      <c r="A822" s="5"/>
      <c r="E822" s="5"/>
      <c r="F822" s="74"/>
      <c r="G822" s="5"/>
      <c r="K822" s="64"/>
      <c r="L822" s="63"/>
      <c r="O822" s="63"/>
    </row>
    <row r="823">
      <c r="A823" s="5"/>
      <c r="E823" s="5"/>
      <c r="F823" s="74"/>
      <c r="G823" s="5"/>
      <c r="K823" s="64"/>
      <c r="L823" s="63"/>
      <c r="O823" s="63"/>
    </row>
    <row r="824">
      <c r="A824" s="5"/>
      <c r="E824" s="5"/>
      <c r="F824" s="74"/>
      <c r="G824" s="5"/>
      <c r="K824" s="64"/>
      <c r="L824" s="63"/>
      <c r="O824" s="63"/>
    </row>
    <row r="825">
      <c r="A825" s="5"/>
      <c r="E825" s="5"/>
      <c r="F825" s="74"/>
      <c r="G825" s="5"/>
      <c r="K825" s="64"/>
      <c r="L825" s="63"/>
      <c r="O825" s="63"/>
    </row>
    <row r="826">
      <c r="A826" s="5"/>
      <c r="E826" s="5"/>
      <c r="F826" s="74"/>
      <c r="G826" s="5"/>
      <c r="K826" s="64"/>
      <c r="L826" s="63"/>
      <c r="O826" s="63"/>
    </row>
    <row r="827">
      <c r="A827" s="5"/>
      <c r="E827" s="5"/>
      <c r="F827" s="74"/>
      <c r="G827" s="5"/>
      <c r="K827" s="64"/>
      <c r="L827" s="63"/>
      <c r="O827" s="63"/>
    </row>
    <row r="828">
      <c r="A828" s="5"/>
      <c r="E828" s="5"/>
      <c r="F828" s="74"/>
      <c r="G828" s="5"/>
      <c r="K828" s="64"/>
      <c r="L828" s="63"/>
      <c r="O828" s="63"/>
    </row>
    <row r="829">
      <c r="A829" s="5"/>
      <c r="E829" s="5"/>
      <c r="F829" s="74"/>
      <c r="G829" s="5"/>
      <c r="K829" s="64"/>
      <c r="L829" s="63"/>
      <c r="O829" s="63"/>
    </row>
    <row r="830">
      <c r="A830" s="5"/>
      <c r="E830" s="5"/>
      <c r="F830" s="74"/>
      <c r="G830" s="5"/>
      <c r="K830" s="64"/>
      <c r="L830" s="63"/>
      <c r="O830" s="63"/>
    </row>
    <row r="831">
      <c r="A831" s="5"/>
      <c r="E831" s="5"/>
      <c r="F831" s="74"/>
      <c r="G831" s="5"/>
      <c r="K831" s="64"/>
      <c r="L831" s="63"/>
      <c r="O831" s="63"/>
    </row>
    <row r="832">
      <c r="A832" s="5"/>
      <c r="E832" s="5"/>
      <c r="F832" s="74"/>
      <c r="G832" s="5"/>
      <c r="K832" s="64"/>
      <c r="L832" s="63"/>
      <c r="O832" s="63"/>
    </row>
    <row r="833">
      <c r="A833" s="5"/>
      <c r="E833" s="5"/>
      <c r="F833" s="74"/>
      <c r="G833" s="5"/>
      <c r="K833" s="64"/>
      <c r="L833" s="63"/>
      <c r="O833" s="63"/>
    </row>
    <row r="834">
      <c r="A834" s="5"/>
      <c r="E834" s="5"/>
      <c r="F834" s="74"/>
      <c r="G834" s="5"/>
      <c r="K834" s="64"/>
      <c r="L834" s="63"/>
      <c r="O834" s="63"/>
    </row>
    <row r="835">
      <c r="A835" s="5"/>
      <c r="E835" s="5"/>
      <c r="F835" s="74"/>
      <c r="G835" s="5"/>
      <c r="K835" s="64"/>
      <c r="L835" s="63"/>
      <c r="O835" s="63"/>
    </row>
    <row r="836">
      <c r="A836" s="5"/>
      <c r="E836" s="5"/>
      <c r="F836" s="74"/>
      <c r="G836" s="5"/>
      <c r="K836" s="64"/>
      <c r="L836" s="63"/>
      <c r="O836" s="63"/>
    </row>
    <row r="837">
      <c r="A837" s="5"/>
      <c r="E837" s="5"/>
      <c r="F837" s="74"/>
      <c r="G837" s="5"/>
      <c r="K837" s="64"/>
      <c r="L837" s="63"/>
      <c r="O837" s="63"/>
    </row>
    <row r="838">
      <c r="A838" s="5"/>
      <c r="E838" s="5"/>
      <c r="F838" s="74"/>
      <c r="G838" s="5"/>
      <c r="K838" s="64"/>
      <c r="L838" s="63"/>
      <c r="O838" s="63"/>
    </row>
    <row r="839">
      <c r="A839" s="5"/>
      <c r="E839" s="5"/>
      <c r="F839" s="74"/>
      <c r="G839" s="5"/>
      <c r="K839" s="64"/>
      <c r="L839" s="63"/>
      <c r="O839" s="63"/>
    </row>
    <row r="840">
      <c r="A840" s="5"/>
      <c r="E840" s="5"/>
      <c r="F840" s="74"/>
      <c r="G840" s="5"/>
      <c r="K840" s="64"/>
      <c r="L840" s="63"/>
      <c r="O840" s="63"/>
    </row>
    <row r="841">
      <c r="A841" s="5"/>
      <c r="E841" s="5"/>
      <c r="F841" s="74"/>
      <c r="G841" s="5"/>
      <c r="K841" s="64"/>
      <c r="L841" s="63"/>
      <c r="O841" s="63"/>
    </row>
    <row r="842">
      <c r="A842" s="5"/>
      <c r="E842" s="5"/>
      <c r="F842" s="74"/>
      <c r="G842" s="5"/>
      <c r="K842" s="64"/>
      <c r="L842" s="63"/>
      <c r="O842" s="63"/>
    </row>
    <row r="843">
      <c r="A843" s="5"/>
      <c r="E843" s="5"/>
      <c r="F843" s="74"/>
      <c r="G843" s="5"/>
      <c r="K843" s="64"/>
      <c r="L843" s="63"/>
      <c r="O843" s="63"/>
    </row>
    <row r="844">
      <c r="A844" s="5"/>
      <c r="E844" s="5"/>
      <c r="F844" s="74"/>
      <c r="G844" s="5"/>
      <c r="K844" s="64"/>
      <c r="L844" s="63"/>
      <c r="O844" s="63"/>
    </row>
    <row r="845">
      <c r="A845" s="5"/>
      <c r="E845" s="5"/>
      <c r="F845" s="74"/>
      <c r="G845" s="5"/>
      <c r="K845" s="64"/>
      <c r="L845" s="63"/>
      <c r="O845" s="63"/>
    </row>
    <row r="846">
      <c r="A846" s="5"/>
      <c r="E846" s="5"/>
      <c r="F846" s="74"/>
      <c r="G846" s="5"/>
      <c r="K846" s="64"/>
      <c r="L846" s="63"/>
      <c r="O846" s="63"/>
    </row>
    <row r="847">
      <c r="A847" s="5"/>
      <c r="E847" s="5"/>
      <c r="F847" s="74"/>
      <c r="G847" s="5"/>
      <c r="K847" s="64"/>
      <c r="L847" s="63"/>
      <c r="O847" s="63"/>
    </row>
    <row r="848">
      <c r="A848" s="5"/>
      <c r="E848" s="5"/>
      <c r="F848" s="74"/>
      <c r="G848" s="5"/>
      <c r="K848" s="64"/>
      <c r="L848" s="63"/>
      <c r="O848" s="63"/>
    </row>
    <row r="849">
      <c r="A849" s="5"/>
      <c r="E849" s="5"/>
      <c r="F849" s="74"/>
      <c r="G849" s="5"/>
      <c r="K849" s="64"/>
      <c r="L849" s="63"/>
      <c r="O849" s="63"/>
    </row>
    <row r="850">
      <c r="A850" s="5"/>
      <c r="E850" s="5"/>
      <c r="F850" s="74"/>
      <c r="G850" s="5"/>
      <c r="K850" s="64"/>
      <c r="L850" s="63"/>
      <c r="O850" s="63"/>
    </row>
    <row r="851">
      <c r="A851" s="5"/>
      <c r="E851" s="5"/>
      <c r="F851" s="74"/>
      <c r="G851" s="5"/>
      <c r="K851" s="64"/>
      <c r="L851" s="63"/>
      <c r="O851" s="63"/>
    </row>
    <row r="852">
      <c r="A852" s="5"/>
      <c r="E852" s="5"/>
      <c r="F852" s="74"/>
      <c r="G852" s="5"/>
      <c r="K852" s="64"/>
      <c r="L852" s="63"/>
      <c r="O852" s="63"/>
    </row>
    <row r="853">
      <c r="A853" s="5"/>
      <c r="E853" s="5"/>
      <c r="F853" s="74"/>
      <c r="G853" s="5"/>
      <c r="K853" s="64"/>
      <c r="L853" s="63"/>
      <c r="O853" s="63"/>
    </row>
    <row r="854">
      <c r="A854" s="5"/>
      <c r="E854" s="5"/>
      <c r="F854" s="74"/>
      <c r="G854" s="5"/>
      <c r="K854" s="64"/>
      <c r="L854" s="63"/>
      <c r="O854" s="63"/>
    </row>
    <row r="855">
      <c r="A855" s="5"/>
      <c r="E855" s="5"/>
      <c r="F855" s="74"/>
      <c r="G855" s="5"/>
      <c r="K855" s="64"/>
      <c r="L855" s="63"/>
      <c r="O855" s="63"/>
    </row>
    <row r="856">
      <c r="A856" s="5"/>
      <c r="E856" s="5"/>
      <c r="F856" s="74"/>
      <c r="G856" s="5"/>
      <c r="K856" s="64"/>
      <c r="L856" s="63"/>
      <c r="O856" s="63"/>
    </row>
    <row r="857">
      <c r="A857" s="5"/>
      <c r="E857" s="5"/>
      <c r="F857" s="74"/>
      <c r="G857" s="5"/>
      <c r="K857" s="64"/>
      <c r="L857" s="63"/>
      <c r="O857" s="63"/>
    </row>
    <row r="858">
      <c r="A858" s="5"/>
      <c r="E858" s="5"/>
      <c r="F858" s="74"/>
      <c r="G858" s="5"/>
      <c r="K858" s="64"/>
      <c r="L858" s="63"/>
      <c r="O858" s="63"/>
    </row>
    <row r="859">
      <c r="A859" s="5"/>
      <c r="E859" s="5"/>
      <c r="F859" s="74"/>
      <c r="G859" s="5"/>
      <c r="K859" s="64"/>
      <c r="L859" s="63"/>
      <c r="O859" s="63"/>
    </row>
    <row r="860">
      <c r="A860" s="5"/>
      <c r="E860" s="5"/>
      <c r="F860" s="74"/>
      <c r="G860" s="5"/>
      <c r="K860" s="64"/>
      <c r="L860" s="63"/>
      <c r="O860" s="63"/>
    </row>
    <row r="861">
      <c r="A861" s="5"/>
      <c r="E861" s="5"/>
      <c r="F861" s="74"/>
      <c r="G861" s="5"/>
      <c r="K861" s="64"/>
      <c r="L861" s="63"/>
      <c r="O861" s="63"/>
    </row>
    <row r="862">
      <c r="A862" s="5"/>
      <c r="E862" s="5"/>
      <c r="F862" s="74"/>
      <c r="G862" s="5"/>
      <c r="K862" s="64"/>
      <c r="L862" s="63"/>
      <c r="O862" s="63"/>
    </row>
    <row r="863">
      <c r="A863" s="5"/>
      <c r="E863" s="5"/>
      <c r="F863" s="74"/>
      <c r="G863" s="5"/>
      <c r="K863" s="64"/>
      <c r="L863" s="63"/>
      <c r="O863" s="63"/>
    </row>
    <row r="864">
      <c r="A864" s="5"/>
      <c r="E864" s="5"/>
      <c r="F864" s="74"/>
      <c r="G864" s="5"/>
      <c r="K864" s="64"/>
      <c r="L864" s="63"/>
      <c r="O864" s="63"/>
    </row>
    <row r="865">
      <c r="A865" s="5"/>
      <c r="E865" s="5"/>
      <c r="F865" s="74"/>
      <c r="G865" s="5"/>
      <c r="K865" s="64"/>
      <c r="L865" s="63"/>
      <c r="O865" s="63"/>
    </row>
    <row r="866">
      <c r="A866" s="5"/>
      <c r="E866" s="5"/>
      <c r="F866" s="74"/>
      <c r="G866" s="5"/>
      <c r="K866" s="64"/>
      <c r="L866" s="63"/>
      <c r="O866" s="63"/>
    </row>
    <row r="867">
      <c r="A867" s="5"/>
      <c r="E867" s="5"/>
      <c r="F867" s="74"/>
      <c r="G867" s="5"/>
      <c r="K867" s="64"/>
      <c r="L867" s="63"/>
      <c r="O867" s="63"/>
    </row>
    <row r="868">
      <c r="A868" s="5"/>
      <c r="E868" s="5"/>
      <c r="F868" s="74"/>
      <c r="G868" s="5"/>
      <c r="K868" s="64"/>
      <c r="L868" s="63"/>
      <c r="O868" s="63"/>
    </row>
    <row r="869">
      <c r="A869" s="5"/>
      <c r="E869" s="5"/>
      <c r="F869" s="74"/>
      <c r="G869" s="5"/>
      <c r="K869" s="64"/>
      <c r="L869" s="63"/>
      <c r="O869" s="63"/>
    </row>
    <row r="870">
      <c r="A870" s="5"/>
      <c r="E870" s="5"/>
      <c r="F870" s="74"/>
      <c r="G870" s="5"/>
      <c r="K870" s="64"/>
      <c r="L870" s="63"/>
      <c r="O870" s="63"/>
    </row>
    <row r="871">
      <c r="A871" s="5"/>
      <c r="E871" s="5"/>
      <c r="F871" s="74"/>
      <c r="G871" s="5"/>
      <c r="K871" s="64"/>
      <c r="L871" s="63"/>
      <c r="O871" s="63"/>
    </row>
    <row r="872">
      <c r="A872" s="5"/>
      <c r="E872" s="5"/>
      <c r="F872" s="74"/>
      <c r="G872" s="5"/>
      <c r="K872" s="64"/>
      <c r="L872" s="63"/>
      <c r="O872" s="63"/>
    </row>
    <row r="873">
      <c r="A873" s="5"/>
      <c r="E873" s="5"/>
      <c r="F873" s="74"/>
      <c r="G873" s="5"/>
      <c r="K873" s="64"/>
      <c r="L873" s="63"/>
      <c r="O873" s="63"/>
    </row>
    <row r="874">
      <c r="A874" s="5"/>
      <c r="E874" s="5"/>
      <c r="F874" s="74"/>
      <c r="G874" s="5"/>
      <c r="K874" s="64"/>
      <c r="L874" s="63"/>
      <c r="O874" s="63"/>
    </row>
    <row r="875">
      <c r="A875" s="5"/>
      <c r="E875" s="5"/>
      <c r="F875" s="74"/>
      <c r="G875" s="5"/>
      <c r="K875" s="64"/>
      <c r="L875" s="63"/>
      <c r="O875" s="63"/>
    </row>
    <row r="876">
      <c r="A876" s="5"/>
      <c r="E876" s="5"/>
      <c r="F876" s="74"/>
      <c r="G876" s="5"/>
      <c r="K876" s="64"/>
      <c r="L876" s="63"/>
      <c r="O876" s="63"/>
    </row>
    <row r="877">
      <c r="A877" s="5"/>
      <c r="E877" s="5"/>
      <c r="F877" s="74"/>
      <c r="G877" s="5"/>
      <c r="K877" s="64"/>
      <c r="L877" s="63"/>
      <c r="O877" s="63"/>
    </row>
    <row r="878">
      <c r="A878" s="5"/>
      <c r="E878" s="5"/>
      <c r="F878" s="74"/>
      <c r="G878" s="5"/>
      <c r="K878" s="64"/>
      <c r="L878" s="63"/>
      <c r="O878" s="63"/>
    </row>
    <row r="879">
      <c r="A879" s="5"/>
      <c r="E879" s="5"/>
      <c r="F879" s="74"/>
      <c r="G879" s="5"/>
      <c r="K879" s="64"/>
      <c r="L879" s="63"/>
      <c r="O879" s="63"/>
    </row>
    <row r="880">
      <c r="A880" s="5"/>
      <c r="E880" s="5"/>
      <c r="F880" s="74"/>
      <c r="G880" s="5"/>
      <c r="K880" s="64"/>
      <c r="L880" s="63"/>
      <c r="O880" s="63"/>
    </row>
    <row r="881">
      <c r="A881" s="5"/>
      <c r="E881" s="5"/>
      <c r="F881" s="74"/>
      <c r="G881" s="5"/>
      <c r="K881" s="64"/>
      <c r="L881" s="63"/>
      <c r="O881" s="63"/>
    </row>
    <row r="882">
      <c r="A882" s="5"/>
      <c r="E882" s="5"/>
      <c r="F882" s="74"/>
      <c r="G882" s="5"/>
      <c r="K882" s="64"/>
      <c r="L882" s="63"/>
      <c r="O882" s="63"/>
    </row>
    <row r="883">
      <c r="A883" s="5"/>
      <c r="E883" s="5"/>
      <c r="F883" s="74"/>
      <c r="G883" s="5"/>
      <c r="K883" s="64"/>
      <c r="L883" s="63"/>
      <c r="O883" s="63"/>
    </row>
    <row r="884">
      <c r="A884" s="5"/>
      <c r="E884" s="5"/>
      <c r="F884" s="74"/>
      <c r="G884" s="5"/>
      <c r="K884" s="64"/>
      <c r="L884" s="63"/>
      <c r="O884" s="63"/>
    </row>
    <row r="885">
      <c r="A885" s="5"/>
      <c r="E885" s="5"/>
      <c r="F885" s="74"/>
      <c r="G885" s="5"/>
      <c r="K885" s="64"/>
      <c r="L885" s="63"/>
      <c r="O885" s="63"/>
    </row>
    <row r="886">
      <c r="A886" s="5"/>
      <c r="E886" s="5"/>
      <c r="F886" s="74"/>
      <c r="G886" s="5"/>
      <c r="K886" s="64"/>
      <c r="L886" s="63"/>
      <c r="O886" s="63"/>
    </row>
    <row r="887">
      <c r="A887" s="5"/>
      <c r="E887" s="5"/>
      <c r="F887" s="74"/>
      <c r="G887" s="5"/>
      <c r="K887" s="64"/>
      <c r="L887" s="63"/>
      <c r="O887" s="63"/>
    </row>
    <row r="888">
      <c r="A888" s="5"/>
      <c r="E888" s="5"/>
      <c r="F888" s="74"/>
      <c r="G888" s="5"/>
      <c r="K888" s="64"/>
      <c r="L888" s="63"/>
      <c r="O888" s="63"/>
    </row>
    <row r="889">
      <c r="A889" s="5"/>
      <c r="E889" s="5"/>
      <c r="F889" s="74"/>
      <c r="G889" s="5"/>
      <c r="K889" s="64"/>
      <c r="L889" s="63"/>
      <c r="O889" s="63"/>
    </row>
    <row r="890">
      <c r="A890" s="5"/>
      <c r="E890" s="5"/>
      <c r="F890" s="74"/>
      <c r="G890" s="5"/>
      <c r="K890" s="64"/>
      <c r="L890" s="63"/>
      <c r="O890" s="63"/>
    </row>
    <row r="891">
      <c r="A891" s="5"/>
      <c r="E891" s="5"/>
      <c r="F891" s="74"/>
      <c r="G891" s="5"/>
      <c r="K891" s="64"/>
      <c r="L891" s="63"/>
      <c r="O891" s="63"/>
    </row>
    <row r="892">
      <c r="A892" s="5"/>
      <c r="E892" s="5"/>
      <c r="F892" s="74"/>
      <c r="G892" s="5"/>
      <c r="K892" s="64"/>
      <c r="L892" s="63"/>
      <c r="O892" s="63"/>
    </row>
    <row r="893">
      <c r="A893" s="5"/>
      <c r="E893" s="5"/>
      <c r="F893" s="74"/>
      <c r="G893" s="5"/>
      <c r="K893" s="64"/>
      <c r="L893" s="63"/>
      <c r="O893" s="63"/>
    </row>
    <row r="894">
      <c r="A894" s="5"/>
      <c r="E894" s="5"/>
      <c r="F894" s="74"/>
      <c r="G894" s="5"/>
      <c r="K894" s="64"/>
      <c r="L894" s="63"/>
      <c r="O894" s="63"/>
    </row>
    <row r="895">
      <c r="A895" s="5"/>
      <c r="E895" s="5"/>
      <c r="F895" s="74"/>
      <c r="G895" s="5"/>
      <c r="K895" s="64"/>
      <c r="L895" s="63"/>
      <c r="O895" s="63"/>
    </row>
    <row r="896">
      <c r="A896" s="5"/>
      <c r="E896" s="5"/>
      <c r="F896" s="74"/>
      <c r="G896" s="5"/>
      <c r="K896" s="64"/>
      <c r="L896" s="63"/>
      <c r="O896" s="63"/>
    </row>
    <row r="897">
      <c r="A897" s="5"/>
      <c r="E897" s="5"/>
      <c r="F897" s="74"/>
      <c r="G897" s="5"/>
      <c r="K897" s="64"/>
      <c r="L897" s="63"/>
      <c r="O897" s="63"/>
    </row>
    <row r="898">
      <c r="A898" s="5"/>
      <c r="E898" s="5"/>
      <c r="F898" s="74"/>
      <c r="G898" s="5"/>
      <c r="K898" s="64"/>
      <c r="L898" s="63"/>
      <c r="O898" s="63"/>
    </row>
    <row r="899">
      <c r="A899" s="5"/>
      <c r="E899" s="5"/>
      <c r="F899" s="74"/>
      <c r="G899" s="5"/>
      <c r="K899" s="64"/>
      <c r="L899" s="63"/>
      <c r="O899" s="63"/>
    </row>
    <row r="900">
      <c r="A900" s="5"/>
      <c r="E900" s="5"/>
      <c r="F900" s="74"/>
      <c r="G900" s="5"/>
      <c r="K900" s="64"/>
      <c r="L900" s="63"/>
      <c r="O900" s="63"/>
    </row>
    <row r="901">
      <c r="A901" s="5"/>
      <c r="E901" s="5"/>
      <c r="F901" s="74"/>
      <c r="G901" s="5"/>
      <c r="K901" s="64"/>
      <c r="L901" s="63"/>
      <c r="O901" s="63"/>
    </row>
    <row r="902">
      <c r="A902" s="5"/>
      <c r="E902" s="5"/>
      <c r="F902" s="74"/>
      <c r="G902" s="5"/>
      <c r="K902" s="64"/>
      <c r="L902" s="63"/>
      <c r="O902" s="63"/>
    </row>
    <row r="903">
      <c r="A903" s="5"/>
      <c r="E903" s="5"/>
      <c r="F903" s="74"/>
      <c r="G903" s="5"/>
      <c r="K903" s="64"/>
      <c r="L903" s="63"/>
      <c r="O903" s="63"/>
    </row>
    <row r="904">
      <c r="A904" s="5"/>
      <c r="E904" s="5"/>
      <c r="F904" s="74"/>
      <c r="G904" s="5"/>
      <c r="K904" s="64"/>
      <c r="L904" s="63"/>
      <c r="O904" s="63"/>
    </row>
    <row r="905">
      <c r="A905" s="5"/>
      <c r="E905" s="5"/>
      <c r="F905" s="74"/>
      <c r="G905" s="5"/>
      <c r="K905" s="64"/>
      <c r="L905" s="63"/>
      <c r="O905" s="63"/>
    </row>
    <row r="906">
      <c r="A906" s="5"/>
      <c r="E906" s="5"/>
      <c r="F906" s="74"/>
      <c r="G906" s="5"/>
      <c r="K906" s="64"/>
      <c r="L906" s="63"/>
      <c r="O906" s="63"/>
    </row>
    <row r="907">
      <c r="A907" s="5"/>
      <c r="E907" s="5"/>
      <c r="F907" s="74"/>
      <c r="G907" s="5"/>
      <c r="K907" s="64"/>
      <c r="L907" s="63"/>
      <c r="O907" s="63"/>
    </row>
    <row r="908">
      <c r="A908" s="5"/>
      <c r="E908" s="5"/>
      <c r="F908" s="74"/>
      <c r="G908" s="5"/>
      <c r="K908" s="64"/>
      <c r="L908" s="63"/>
      <c r="O908" s="63"/>
    </row>
    <row r="909">
      <c r="A909" s="5"/>
      <c r="E909" s="5"/>
      <c r="F909" s="74"/>
      <c r="G909" s="5"/>
      <c r="K909" s="64"/>
      <c r="L909" s="63"/>
      <c r="O909" s="63"/>
    </row>
    <row r="910">
      <c r="A910" s="5"/>
      <c r="E910" s="5"/>
      <c r="F910" s="74"/>
      <c r="G910" s="5"/>
      <c r="K910" s="64"/>
      <c r="L910" s="63"/>
      <c r="O910" s="63"/>
    </row>
    <row r="911">
      <c r="A911" s="5"/>
      <c r="E911" s="5"/>
      <c r="F911" s="74"/>
      <c r="G911" s="5"/>
      <c r="K911" s="64"/>
      <c r="L911" s="63"/>
      <c r="O911" s="63"/>
    </row>
    <row r="912">
      <c r="A912" s="5"/>
      <c r="E912" s="5"/>
      <c r="F912" s="74"/>
      <c r="G912" s="5"/>
      <c r="K912" s="64"/>
      <c r="L912" s="63"/>
      <c r="O912" s="63"/>
    </row>
    <row r="913">
      <c r="A913" s="5"/>
      <c r="E913" s="5"/>
      <c r="F913" s="74"/>
      <c r="G913" s="5"/>
      <c r="K913" s="64"/>
      <c r="L913" s="63"/>
      <c r="O913" s="63"/>
    </row>
    <row r="914">
      <c r="A914" s="5"/>
      <c r="E914" s="5"/>
      <c r="F914" s="74"/>
      <c r="G914" s="5"/>
      <c r="K914" s="64"/>
      <c r="L914" s="63"/>
      <c r="O914" s="63"/>
    </row>
    <row r="915">
      <c r="A915" s="5"/>
      <c r="E915" s="5"/>
      <c r="F915" s="74"/>
      <c r="G915" s="5"/>
      <c r="K915" s="64"/>
      <c r="L915" s="63"/>
      <c r="O915" s="63"/>
    </row>
    <row r="916">
      <c r="A916" s="5"/>
      <c r="E916" s="5"/>
      <c r="F916" s="74"/>
      <c r="G916" s="5"/>
      <c r="K916" s="64"/>
      <c r="L916" s="63"/>
      <c r="O916" s="63"/>
    </row>
    <row r="917">
      <c r="A917" s="5"/>
      <c r="E917" s="5"/>
      <c r="F917" s="74"/>
      <c r="G917" s="5"/>
      <c r="K917" s="64"/>
      <c r="L917" s="63"/>
      <c r="O917" s="63"/>
    </row>
    <row r="918">
      <c r="A918" s="5"/>
      <c r="E918" s="5"/>
      <c r="F918" s="74"/>
      <c r="G918" s="5"/>
      <c r="K918" s="64"/>
      <c r="L918" s="63"/>
      <c r="O918" s="63"/>
    </row>
    <row r="919">
      <c r="A919" s="5"/>
      <c r="E919" s="5"/>
      <c r="F919" s="74"/>
      <c r="G919" s="5"/>
      <c r="K919" s="64"/>
      <c r="L919" s="63"/>
      <c r="O919" s="63"/>
    </row>
    <row r="920">
      <c r="A920" s="5"/>
      <c r="E920" s="5"/>
      <c r="F920" s="74"/>
      <c r="G920" s="5"/>
      <c r="K920" s="64"/>
      <c r="L920" s="63"/>
      <c r="O920" s="63"/>
    </row>
    <row r="921">
      <c r="A921" s="5"/>
      <c r="E921" s="5"/>
      <c r="F921" s="74"/>
      <c r="G921" s="5"/>
      <c r="K921" s="64"/>
      <c r="L921" s="63"/>
      <c r="O921" s="63"/>
    </row>
    <row r="922">
      <c r="A922" s="5"/>
      <c r="E922" s="5"/>
      <c r="F922" s="74"/>
      <c r="G922" s="5"/>
      <c r="K922" s="64"/>
      <c r="L922" s="63"/>
      <c r="O922" s="63"/>
    </row>
    <row r="923">
      <c r="A923" s="5"/>
      <c r="E923" s="5"/>
      <c r="F923" s="74"/>
      <c r="G923" s="5"/>
      <c r="K923" s="64"/>
      <c r="L923" s="63"/>
      <c r="O923" s="63"/>
    </row>
    <row r="924">
      <c r="A924" s="5"/>
      <c r="E924" s="5"/>
      <c r="F924" s="74"/>
      <c r="G924" s="5"/>
      <c r="K924" s="64"/>
      <c r="L924" s="63"/>
      <c r="O924" s="63"/>
    </row>
    <row r="925">
      <c r="A925" s="5"/>
      <c r="E925" s="5"/>
      <c r="F925" s="74"/>
      <c r="G925" s="5"/>
      <c r="K925" s="64"/>
      <c r="L925" s="63"/>
      <c r="O925" s="63"/>
    </row>
    <row r="926">
      <c r="A926" s="5"/>
      <c r="E926" s="5"/>
      <c r="F926" s="74"/>
      <c r="G926" s="5"/>
      <c r="K926" s="64"/>
      <c r="L926" s="63"/>
      <c r="O926" s="63"/>
    </row>
    <row r="927">
      <c r="A927" s="5"/>
      <c r="E927" s="5"/>
      <c r="F927" s="74"/>
      <c r="G927" s="5"/>
      <c r="K927" s="64"/>
      <c r="L927" s="63"/>
      <c r="O927" s="63"/>
    </row>
    <row r="928">
      <c r="A928" s="5"/>
      <c r="E928" s="5"/>
      <c r="F928" s="74"/>
      <c r="G928" s="5"/>
      <c r="K928" s="64"/>
      <c r="L928" s="63"/>
      <c r="O928" s="63"/>
    </row>
    <row r="929">
      <c r="A929" s="5"/>
      <c r="E929" s="5"/>
      <c r="F929" s="74"/>
      <c r="G929" s="5"/>
      <c r="K929" s="64"/>
      <c r="L929" s="63"/>
      <c r="O929" s="63"/>
    </row>
    <row r="930">
      <c r="A930" s="5"/>
      <c r="E930" s="5"/>
      <c r="F930" s="74"/>
      <c r="G930" s="5"/>
      <c r="K930" s="64"/>
      <c r="L930" s="63"/>
      <c r="O930" s="63"/>
    </row>
    <row r="931">
      <c r="A931" s="5"/>
      <c r="E931" s="5"/>
      <c r="F931" s="74"/>
      <c r="G931" s="5"/>
      <c r="K931" s="64"/>
      <c r="L931" s="63"/>
      <c r="O931" s="63"/>
    </row>
    <row r="932">
      <c r="A932" s="5"/>
      <c r="E932" s="5"/>
      <c r="F932" s="74"/>
      <c r="G932" s="5"/>
      <c r="K932" s="64"/>
      <c r="L932" s="63"/>
      <c r="O932" s="63"/>
    </row>
    <row r="933">
      <c r="A933" s="5"/>
      <c r="E933" s="5"/>
      <c r="F933" s="74"/>
      <c r="G933" s="5"/>
      <c r="K933" s="64"/>
      <c r="L933" s="63"/>
      <c r="O933" s="63"/>
    </row>
    <row r="934">
      <c r="A934" s="5"/>
      <c r="E934" s="5"/>
      <c r="F934" s="74"/>
      <c r="G934" s="5"/>
      <c r="K934" s="64"/>
      <c r="L934" s="63"/>
      <c r="O934" s="63"/>
    </row>
    <row r="935">
      <c r="A935" s="5"/>
      <c r="E935" s="5"/>
      <c r="F935" s="74"/>
      <c r="G935" s="5"/>
      <c r="K935" s="64"/>
      <c r="L935" s="63"/>
      <c r="O935" s="63"/>
    </row>
    <row r="936">
      <c r="A936" s="5"/>
      <c r="E936" s="5"/>
      <c r="F936" s="74"/>
      <c r="G936" s="5"/>
      <c r="K936" s="64"/>
      <c r="L936" s="63"/>
      <c r="O936" s="63"/>
    </row>
    <row r="937">
      <c r="A937" s="5"/>
      <c r="E937" s="5"/>
      <c r="F937" s="74"/>
      <c r="G937" s="5"/>
      <c r="K937" s="64"/>
      <c r="L937" s="63"/>
      <c r="O937" s="63"/>
    </row>
    <row r="938">
      <c r="A938" s="5"/>
      <c r="E938" s="5"/>
      <c r="F938" s="74"/>
      <c r="G938" s="5"/>
      <c r="K938" s="64"/>
      <c r="L938" s="63"/>
      <c r="O938" s="63"/>
    </row>
    <row r="939">
      <c r="A939" s="5"/>
      <c r="E939" s="5"/>
      <c r="F939" s="74"/>
      <c r="G939" s="5"/>
      <c r="K939" s="64"/>
      <c r="L939" s="63"/>
      <c r="O939" s="63"/>
    </row>
    <row r="940">
      <c r="A940" s="5"/>
      <c r="E940" s="5"/>
      <c r="F940" s="74"/>
      <c r="G940" s="5"/>
      <c r="K940" s="64"/>
      <c r="L940" s="63"/>
      <c r="O940" s="63"/>
    </row>
    <row r="941">
      <c r="A941" s="5"/>
      <c r="E941" s="5"/>
      <c r="F941" s="74"/>
      <c r="G941" s="5"/>
      <c r="K941" s="64"/>
      <c r="L941" s="63"/>
      <c r="O941" s="63"/>
    </row>
    <row r="942">
      <c r="A942" s="5"/>
      <c r="E942" s="5"/>
      <c r="F942" s="74"/>
      <c r="G942" s="5"/>
      <c r="K942" s="64"/>
      <c r="L942" s="63"/>
      <c r="O942" s="63"/>
    </row>
    <row r="943">
      <c r="A943" s="5"/>
      <c r="E943" s="5"/>
      <c r="F943" s="74"/>
      <c r="G943" s="5"/>
      <c r="K943" s="64"/>
      <c r="L943" s="63"/>
      <c r="O943" s="63"/>
    </row>
    <row r="944">
      <c r="A944" s="5"/>
      <c r="E944" s="5"/>
      <c r="F944" s="74"/>
      <c r="G944" s="5"/>
      <c r="K944" s="64"/>
      <c r="L944" s="63"/>
      <c r="O944" s="63"/>
    </row>
    <row r="945">
      <c r="A945" s="5"/>
      <c r="E945" s="5"/>
      <c r="F945" s="74"/>
      <c r="G945" s="5"/>
      <c r="K945" s="64"/>
      <c r="L945" s="63"/>
      <c r="O945" s="63"/>
    </row>
    <row r="946">
      <c r="A946" s="5"/>
      <c r="E946" s="5"/>
      <c r="F946" s="74"/>
      <c r="G946" s="5"/>
      <c r="K946" s="64"/>
      <c r="L946" s="63"/>
      <c r="O946" s="63"/>
    </row>
    <row r="947">
      <c r="A947" s="5"/>
      <c r="E947" s="5"/>
      <c r="F947" s="74"/>
      <c r="G947" s="5"/>
      <c r="K947" s="64"/>
      <c r="L947" s="63"/>
      <c r="O947" s="63"/>
    </row>
    <row r="948">
      <c r="A948" s="5"/>
      <c r="E948" s="5"/>
      <c r="F948" s="74"/>
      <c r="G948" s="5"/>
      <c r="K948" s="64"/>
      <c r="L948" s="63"/>
      <c r="O948" s="63"/>
    </row>
    <row r="949">
      <c r="A949" s="5"/>
      <c r="E949" s="5"/>
      <c r="F949" s="74"/>
      <c r="G949" s="5"/>
      <c r="K949" s="64"/>
      <c r="L949" s="63"/>
      <c r="O949" s="63"/>
    </row>
    <row r="950">
      <c r="A950" s="5"/>
      <c r="E950" s="5"/>
      <c r="F950" s="74"/>
      <c r="G950" s="5"/>
      <c r="K950" s="64"/>
      <c r="L950" s="63"/>
      <c r="O950" s="63"/>
    </row>
    <row r="951">
      <c r="A951" s="5"/>
      <c r="E951" s="5"/>
      <c r="F951" s="74"/>
      <c r="G951" s="5"/>
      <c r="K951" s="64"/>
      <c r="L951" s="63"/>
      <c r="O951" s="63"/>
    </row>
    <row r="952">
      <c r="A952" s="5"/>
      <c r="E952" s="5"/>
      <c r="F952" s="74"/>
      <c r="G952" s="5"/>
      <c r="K952" s="64"/>
      <c r="L952" s="63"/>
      <c r="O952" s="63"/>
    </row>
    <row r="953">
      <c r="A953" s="5"/>
      <c r="E953" s="5"/>
      <c r="F953" s="74"/>
      <c r="G953" s="5"/>
      <c r="K953" s="64"/>
      <c r="L953" s="63"/>
      <c r="O953" s="63"/>
    </row>
    <row r="954">
      <c r="A954" s="5"/>
      <c r="E954" s="5"/>
      <c r="F954" s="74"/>
      <c r="G954" s="5"/>
      <c r="K954" s="64"/>
      <c r="L954" s="63"/>
      <c r="O954" s="63"/>
    </row>
    <row r="955">
      <c r="A955" s="5"/>
      <c r="E955" s="5"/>
      <c r="F955" s="74"/>
      <c r="G955" s="5"/>
      <c r="K955" s="64"/>
      <c r="L955" s="63"/>
      <c r="O955" s="63"/>
    </row>
    <row r="956">
      <c r="A956" s="5"/>
      <c r="E956" s="5"/>
      <c r="F956" s="74"/>
      <c r="G956" s="5"/>
      <c r="K956" s="64"/>
      <c r="L956" s="63"/>
      <c r="O956" s="63"/>
    </row>
    <row r="957">
      <c r="A957" s="5"/>
      <c r="E957" s="5"/>
      <c r="F957" s="74"/>
      <c r="G957" s="5"/>
      <c r="K957" s="64"/>
      <c r="L957" s="63"/>
      <c r="O957" s="63"/>
    </row>
    <row r="958">
      <c r="A958" s="5"/>
      <c r="E958" s="5"/>
      <c r="F958" s="74"/>
      <c r="G958" s="5"/>
      <c r="K958" s="64"/>
      <c r="L958" s="63"/>
      <c r="O958" s="63"/>
    </row>
    <row r="959">
      <c r="A959" s="5"/>
      <c r="E959" s="5"/>
      <c r="F959" s="74"/>
      <c r="G959" s="5"/>
      <c r="K959" s="64"/>
      <c r="L959" s="63"/>
      <c r="O959" s="63"/>
    </row>
    <row r="960">
      <c r="A960" s="5"/>
      <c r="E960" s="5"/>
      <c r="F960" s="74"/>
      <c r="G960" s="5"/>
      <c r="K960" s="64"/>
      <c r="L960" s="63"/>
      <c r="O960" s="63"/>
    </row>
    <row r="961">
      <c r="A961" s="5"/>
      <c r="E961" s="5"/>
      <c r="F961" s="74"/>
      <c r="G961" s="5"/>
      <c r="K961" s="64"/>
      <c r="L961" s="63"/>
      <c r="O961" s="63"/>
    </row>
    <row r="962">
      <c r="A962" s="5"/>
      <c r="E962" s="5"/>
      <c r="F962" s="74"/>
      <c r="G962" s="5"/>
      <c r="K962" s="64"/>
      <c r="L962" s="63"/>
      <c r="O962" s="63"/>
    </row>
    <row r="963">
      <c r="A963" s="5"/>
      <c r="E963" s="5"/>
      <c r="F963" s="74"/>
      <c r="G963" s="5"/>
      <c r="K963" s="64"/>
      <c r="L963" s="63"/>
      <c r="O963" s="63"/>
    </row>
    <row r="964">
      <c r="A964" s="5"/>
      <c r="E964" s="5"/>
      <c r="F964" s="74"/>
      <c r="G964" s="5"/>
      <c r="K964" s="64"/>
      <c r="L964" s="63"/>
      <c r="O964" s="63"/>
    </row>
    <row r="965">
      <c r="A965" s="5"/>
      <c r="E965" s="5"/>
      <c r="F965" s="74"/>
      <c r="G965" s="5"/>
      <c r="K965" s="64"/>
      <c r="L965" s="63"/>
      <c r="O965" s="63"/>
    </row>
    <row r="966">
      <c r="A966" s="5"/>
      <c r="E966" s="5"/>
      <c r="F966" s="74"/>
      <c r="G966" s="5"/>
      <c r="K966" s="64"/>
      <c r="L966" s="63"/>
      <c r="O966" s="63"/>
    </row>
    <row r="967">
      <c r="A967" s="5"/>
      <c r="E967" s="5"/>
      <c r="F967" s="74"/>
      <c r="G967" s="5"/>
      <c r="K967" s="64"/>
      <c r="L967" s="63"/>
      <c r="O967" s="63"/>
    </row>
    <row r="968">
      <c r="A968" s="5"/>
      <c r="E968" s="5"/>
      <c r="F968" s="74"/>
      <c r="G968" s="5"/>
      <c r="K968" s="64"/>
      <c r="L968" s="63"/>
      <c r="O968" s="63"/>
    </row>
    <row r="969">
      <c r="A969" s="5"/>
      <c r="E969" s="5"/>
      <c r="F969" s="74"/>
      <c r="G969" s="5"/>
      <c r="K969" s="64"/>
      <c r="L969" s="63"/>
      <c r="O969" s="63"/>
    </row>
    <row r="970">
      <c r="A970" s="5"/>
      <c r="E970" s="5"/>
      <c r="F970" s="74"/>
      <c r="G970" s="5"/>
      <c r="K970" s="64"/>
      <c r="L970" s="63"/>
      <c r="O970" s="63"/>
    </row>
    <row r="971">
      <c r="A971" s="5"/>
      <c r="E971" s="5"/>
      <c r="F971" s="74"/>
      <c r="G971" s="5"/>
      <c r="K971" s="64"/>
      <c r="L971" s="63"/>
      <c r="O971" s="63"/>
    </row>
    <row r="972">
      <c r="A972" s="5"/>
      <c r="E972" s="5"/>
      <c r="F972" s="74"/>
      <c r="G972" s="5"/>
      <c r="K972" s="64"/>
      <c r="L972" s="63"/>
      <c r="O972" s="63"/>
    </row>
    <row r="973">
      <c r="A973" s="5"/>
      <c r="E973" s="5"/>
      <c r="F973" s="74"/>
      <c r="G973" s="5"/>
      <c r="K973" s="64"/>
      <c r="L973" s="63"/>
      <c r="O973" s="63"/>
    </row>
    <row r="974">
      <c r="A974" s="5"/>
      <c r="E974" s="5"/>
      <c r="F974" s="74"/>
      <c r="G974" s="5"/>
      <c r="K974" s="64"/>
      <c r="L974" s="63"/>
      <c r="O974" s="63"/>
    </row>
    <row r="975">
      <c r="A975" s="5"/>
      <c r="E975" s="5"/>
      <c r="F975" s="74"/>
      <c r="G975" s="5"/>
      <c r="K975" s="64"/>
      <c r="L975" s="63"/>
      <c r="O975" s="63"/>
    </row>
    <row r="976">
      <c r="A976" s="5"/>
      <c r="E976" s="5"/>
      <c r="F976" s="74"/>
      <c r="G976" s="5"/>
      <c r="K976" s="64"/>
      <c r="L976" s="63"/>
      <c r="O976" s="63"/>
    </row>
    <row r="977">
      <c r="A977" s="5"/>
      <c r="E977" s="5"/>
      <c r="F977" s="74"/>
      <c r="G977" s="5"/>
      <c r="K977" s="64"/>
      <c r="L977" s="63"/>
      <c r="O977" s="63"/>
    </row>
    <row r="978">
      <c r="A978" s="5"/>
      <c r="E978" s="5"/>
      <c r="F978" s="74"/>
      <c r="G978" s="5"/>
      <c r="K978" s="64"/>
      <c r="L978" s="63"/>
      <c r="O978" s="63"/>
    </row>
    <row r="979">
      <c r="A979" s="5"/>
      <c r="E979" s="5"/>
      <c r="F979" s="74"/>
      <c r="G979" s="5"/>
      <c r="K979" s="64"/>
      <c r="L979" s="63"/>
      <c r="O979" s="63"/>
    </row>
    <row r="980">
      <c r="A980" s="5"/>
      <c r="E980" s="5"/>
      <c r="F980" s="74"/>
      <c r="G980" s="5"/>
      <c r="K980" s="64"/>
      <c r="L980" s="63"/>
      <c r="O980" s="63"/>
    </row>
    <row r="981">
      <c r="A981" s="5"/>
      <c r="E981" s="5"/>
      <c r="F981" s="74"/>
      <c r="G981" s="5"/>
      <c r="K981" s="64"/>
      <c r="L981" s="63"/>
      <c r="O981" s="63"/>
    </row>
    <row r="982">
      <c r="A982" s="5"/>
      <c r="E982" s="5"/>
      <c r="F982" s="74"/>
      <c r="G982" s="5"/>
      <c r="K982" s="64"/>
      <c r="L982" s="63"/>
      <c r="O982" s="63"/>
    </row>
    <row r="983">
      <c r="A983" s="5"/>
      <c r="E983" s="5"/>
      <c r="F983" s="74"/>
      <c r="G983" s="5"/>
      <c r="K983" s="64"/>
      <c r="L983" s="63"/>
      <c r="O983" s="63"/>
    </row>
    <row r="984">
      <c r="A984" s="5"/>
      <c r="E984" s="5"/>
      <c r="F984" s="74"/>
      <c r="G984" s="5"/>
      <c r="K984" s="64"/>
      <c r="L984" s="63"/>
      <c r="O984" s="63"/>
    </row>
    <row r="985">
      <c r="A985" s="5"/>
      <c r="E985" s="5"/>
      <c r="F985" s="74"/>
      <c r="G985" s="5"/>
      <c r="K985" s="64"/>
      <c r="L985" s="63"/>
      <c r="O985" s="63"/>
    </row>
    <row r="986">
      <c r="A986" s="5"/>
      <c r="E986" s="5"/>
      <c r="F986" s="74"/>
      <c r="G986" s="5"/>
      <c r="K986" s="64"/>
      <c r="L986" s="63"/>
      <c r="O986" s="63"/>
    </row>
    <row r="987">
      <c r="A987" s="5"/>
      <c r="E987" s="5"/>
      <c r="F987" s="74"/>
      <c r="G987" s="5"/>
      <c r="K987" s="64"/>
      <c r="L987" s="63"/>
      <c r="O987" s="63"/>
    </row>
    <row r="988">
      <c r="A988" s="5"/>
      <c r="E988" s="5"/>
      <c r="F988" s="74"/>
      <c r="G988" s="5"/>
      <c r="K988" s="64"/>
      <c r="L988" s="63"/>
      <c r="O988" s="63"/>
    </row>
    <row r="989">
      <c r="A989" s="5"/>
      <c r="E989" s="5"/>
      <c r="F989" s="74"/>
      <c r="G989" s="5"/>
      <c r="K989" s="64"/>
      <c r="L989" s="63"/>
      <c r="O989" s="63"/>
    </row>
    <row r="990">
      <c r="A990" s="5"/>
      <c r="E990" s="5"/>
      <c r="F990" s="74"/>
      <c r="G990" s="5"/>
      <c r="K990" s="64"/>
      <c r="L990" s="63"/>
      <c r="O990" s="63"/>
    </row>
    <row r="991">
      <c r="A991" s="5"/>
      <c r="E991" s="5"/>
      <c r="F991" s="74"/>
      <c r="G991" s="5"/>
      <c r="K991" s="64"/>
      <c r="L991" s="63"/>
      <c r="O991" s="63"/>
    </row>
    <row r="992">
      <c r="A992" s="5"/>
      <c r="E992" s="5"/>
      <c r="F992" s="74"/>
      <c r="G992" s="5"/>
      <c r="K992" s="64"/>
      <c r="L992" s="63"/>
      <c r="O992" s="63"/>
    </row>
    <row r="993">
      <c r="A993" s="5"/>
      <c r="E993" s="5"/>
      <c r="F993" s="74"/>
      <c r="G993" s="5"/>
      <c r="K993" s="64"/>
      <c r="L993" s="63"/>
      <c r="O993" s="63"/>
    </row>
    <row r="994">
      <c r="A994" s="5"/>
      <c r="E994" s="5"/>
      <c r="F994" s="74"/>
      <c r="G994" s="5"/>
      <c r="K994" s="64"/>
      <c r="L994" s="63"/>
      <c r="O994" s="63"/>
    </row>
    <row r="995">
      <c r="A995" s="5"/>
      <c r="E995" s="5"/>
      <c r="F995" s="74"/>
      <c r="G995" s="5"/>
      <c r="K995" s="64"/>
      <c r="L995" s="63"/>
      <c r="O995" s="63"/>
    </row>
    <row r="996">
      <c r="A996" s="5"/>
      <c r="E996" s="5"/>
      <c r="F996" s="74"/>
      <c r="G996" s="5"/>
      <c r="K996" s="64"/>
      <c r="L996" s="63"/>
      <c r="O996" s="63"/>
    </row>
    <row r="997">
      <c r="A997" s="5"/>
      <c r="E997" s="5"/>
      <c r="F997" s="74"/>
      <c r="G997" s="5"/>
      <c r="K997" s="64"/>
      <c r="L997" s="63"/>
      <c r="O997" s="63"/>
    </row>
    <row r="998">
      <c r="A998" s="5"/>
      <c r="E998" s="5"/>
      <c r="F998" s="74"/>
      <c r="G998" s="5"/>
      <c r="K998" s="64"/>
      <c r="L998" s="63"/>
      <c r="O998" s="63"/>
    </row>
    <row r="999">
      <c r="A999" s="5"/>
      <c r="E999" s="5"/>
      <c r="F999" s="74"/>
      <c r="G999" s="5"/>
      <c r="K999" s="64"/>
      <c r="L999" s="63"/>
      <c r="O999" s="63"/>
    </row>
    <row r="1000">
      <c r="A1000" s="5"/>
      <c r="E1000" s="5"/>
      <c r="F1000" s="74"/>
      <c r="G1000" s="5"/>
      <c r="K1000" s="64"/>
      <c r="L1000" s="63"/>
      <c r="O1000" s="63"/>
    </row>
    <row r="1001">
      <c r="A1001" s="5"/>
      <c r="E1001" s="5"/>
      <c r="F1001" s="74"/>
      <c r="G1001" s="5"/>
      <c r="K1001" s="64"/>
      <c r="L1001" s="63"/>
      <c r="O1001" s="63"/>
    </row>
    <row r="1002">
      <c r="A1002" s="5"/>
      <c r="E1002" s="5"/>
      <c r="F1002" s="74"/>
      <c r="G1002" s="5"/>
      <c r="K1002" s="64"/>
      <c r="L1002" s="63"/>
      <c r="O1002" s="63"/>
    </row>
    <row r="1003">
      <c r="A1003" s="5"/>
      <c r="E1003" s="5"/>
      <c r="F1003" s="74"/>
      <c r="G1003" s="5"/>
      <c r="K1003" s="64"/>
      <c r="L1003" s="63"/>
      <c r="O1003" s="63"/>
    </row>
    <row r="1004">
      <c r="A1004" s="5"/>
      <c r="E1004" s="5"/>
      <c r="F1004" s="74"/>
      <c r="G1004" s="5"/>
      <c r="K1004" s="64"/>
      <c r="L1004" s="63"/>
      <c r="O1004" s="63"/>
    </row>
    <row r="1005">
      <c r="A1005" s="5"/>
      <c r="E1005" s="5"/>
      <c r="F1005" s="74"/>
      <c r="G1005" s="5"/>
      <c r="K1005" s="64"/>
      <c r="L1005" s="63"/>
      <c r="O1005" s="63"/>
    </row>
    <row r="1006">
      <c r="A1006" s="5"/>
      <c r="E1006" s="5"/>
      <c r="F1006" s="74"/>
      <c r="G1006" s="5"/>
      <c r="K1006" s="64"/>
      <c r="L1006" s="63"/>
      <c r="O1006" s="63"/>
    </row>
    <row r="1007">
      <c r="A1007" s="5"/>
      <c r="E1007" s="5"/>
      <c r="F1007" s="74"/>
      <c r="G1007" s="5"/>
      <c r="K1007" s="64"/>
      <c r="L1007" s="63"/>
      <c r="O1007" s="63"/>
    </row>
    <row r="1008">
      <c r="A1008" s="5"/>
      <c r="E1008" s="5"/>
      <c r="F1008" s="74"/>
      <c r="G1008" s="5"/>
      <c r="K1008" s="64"/>
      <c r="L1008" s="63"/>
      <c r="O1008" s="63"/>
    </row>
    <row r="1009">
      <c r="A1009" s="5"/>
      <c r="E1009" s="5"/>
      <c r="F1009" s="74"/>
      <c r="G1009" s="5"/>
      <c r="K1009" s="64"/>
      <c r="L1009" s="63"/>
      <c r="O1009" s="63"/>
    </row>
    <row r="1010">
      <c r="A1010" s="5"/>
      <c r="E1010" s="5"/>
      <c r="F1010" s="74"/>
      <c r="G1010" s="5"/>
      <c r="K1010" s="64"/>
      <c r="L1010" s="63"/>
      <c r="O1010" s="63"/>
    </row>
    <row r="1011">
      <c r="A1011" s="5"/>
      <c r="E1011" s="5"/>
      <c r="F1011" s="74"/>
      <c r="G1011" s="5"/>
      <c r="K1011" s="64"/>
      <c r="L1011" s="63"/>
      <c r="O1011" s="63"/>
    </row>
    <row r="1012">
      <c r="A1012" s="5"/>
      <c r="E1012" s="5"/>
      <c r="F1012" s="74"/>
      <c r="G1012" s="5"/>
      <c r="K1012" s="64"/>
      <c r="L1012" s="63"/>
      <c r="O1012" s="63"/>
    </row>
    <row r="1013">
      <c r="A1013" s="5"/>
      <c r="E1013" s="5"/>
      <c r="F1013" s="74"/>
      <c r="G1013" s="5"/>
      <c r="K1013" s="64"/>
      <c r="L1013" s="63"/>
      <c r="O1013" s="63"/>
    </row>
    <row r="1014">
      <c r="A1014" s="5"/>
      <c r="E1014" s="5"/>
      <c r="F1014" s="74"/>
      <c r="G1014" s="5"/>
      <c r="K1014" s="64"/>
      <c r="L1014" s="63"/>
      <c r="O1014" s="63"/>
    </row>
    <row r="1015">
      <c r="A1015" s="5"/>
      <c r="E1015" s="5"/>
      <c r="F1015" s="74"/>
      <c r="G1015" s="5"/>
      <c r="K1015" s="64"/>
      <c r="L1015" s="63"/>
      <c r="O1015" s="63"/>
    </row>
    <row r="1016">
      <c r="A1016" s="5"/>
      <c r="E1016" s="5"/>
      <c r="F1016" s="74"/>
      <c r="G1016" s="5"/>
      <c r="K1016" s="64"/>
      <c r="L1016" s="63"/>
      <c r="O1016" s="63"/>
    </row>
    <row r="1017">
      <c r="A1017" s="5"/>
      <c r="E1017" s="5"/>
      <c r="F1017" s="74"/>
      <c r="G1017" s="5"/>
      <c r="K1017" s="64"/>
      <c r="L1017" s="63"/>
      <c r="O1017" s="63"/>
    </row>
    <row r="1018">
      <c r="A1018" s="5"/>
      <c r="E1018" s="5"/>
      <c r="F1018" s="74"/>
      <c r="G1018" s="5"/>
      <c r="K1018" s="64"/>
      <c r="L1018" s="63"/>
      <c r="O1018" s="63"/>
    </row>
    <row r="1019">
      <c r="A1019" s="5"/>
      <c r="E1019" s="5"/>
      <c r="F1019" s="74"/>
      <c r="G1019" s="5"/>
      <c r="K1019" s="64"/>
      <c r="L1019" s="63"/>
      <c r="O1019" s="63"/>
    </row>
    <row r="1020">
      <c r="A1020" s="5"/>
      <c r="E1020" s="5"/>
      <c r="F1020" s="74"/>
      <c r="G1020" s="5"/>
      <c r="K1020" s="64"/>
      <c r="L1020" s="63"/>
      <c r="O1020" s="63"/>
    </row>
    <row r="1021">
      <c r="A1021" s="5"/>
      <c r="E1021" s="5"/>
      <c r="F1021" s="74"/>
      <c r="G1021" s="5"/>
      <c r="K1021" s="64"/>
      <c r="L1021" s="63"/>
      <c r="O1021" s="63"/>
    </row>
    <row r="1022">
      <c r="A1022" s="5"/>
      <c r="E1022" s="5"/>
      <c r="F1022" s="74"/>
      <c r="G1022" s="5"/>
      <c r="K1022" s="64"/>
      <c r="L1022" s="63"/>
      <c r="O1022" s="63"/>
    </row>
    <row r="1023">
      <c r="A1023" s="5"/>
      <c r="E1023" s="5"/>
      <c r="F1023" s="74"/>
      <c r="G1023" s="5"/>
      <c r="K1023" s="64"/>
      <c r="L1023" s="63"/>
      <c r="O1023" s="63"/>
    </row>
    <row r="1024">
      <c r="A1024" s="5"/>
      <c r="E1024" s="5"/>
      <c r="F1024" s="74"/>
      <c r="G1024" s="5"/>
      <c r="K1024" s="64"/>
      <c r="L1024" s="63"/>
      <c r="O1024" s="63"/>
    </row>
    <row r="1025">
      <c r="A1025" s="5"/>
      <c r="E1025" s="5"/>
      <c r="F1025" s="74"/>
      <c r="G1025" s="5"/>
      <c r="K1025" s="64"/>
      <c r="L1025" s="63"/>
      <c r="O1025" s="63"/>
    </row>
    <row r="1026">
      <c r="A1026" s="5"/>
      <c r="E1026" s="5"/>
      <c r="F1026" s="74"/>
      <c r="G1026" s="5"/>
      <c r="K1026" s="64"/>
      <c r="L1026" s="63"/>
      <c r="O1026" s="63"/>
    </row>
    <row r="1027">
      <c r="A1027" s="5"/>
      <c r="E1027" s="5"/>
      <c r="F1027" s="74"/>
      <c r="G1027" s="5"/>
      <c r="K1027" s="64"/>
      <c r="L1027" s="63"/>
      <c r="O1027" s="63"/>
    </row>
    <row r="1028">
      <c r="A1028" s="5"/>
      <c r="E1028" s="5"/>
      <c r="F1028" s="74"/>
      <c r="G1028" s="5"/>
      <c r="K1028" s="64"/>
      <c r="L1028" s="63"/>
      <c r="O1028" s="63"/>
    </row>
    <row r="1029">
      <c r="A1029" s="5"/>
      <c r="E1029" s="5"/>
      <c r="F1029" s="74"/>
      <c r="G1029" s="5"/>
      <c r="K1029" s="64"/>
      <c r="L1029" s="63"/>
      <c r="O1029" s="63"/>
    </row>
    <row r="1030">
      <c r="A1030" s="5"/>
      <c r="E1030" s="5"/>
      <c r="F1030" s="74"/>
      <c r="G1030" s="5"/>
      <c r="K1030" s="64"/>
      <c r="L1030" s="63"/>
      <c r="O1030" s="63"/>
    </row>
    <row r="1031">
      <c r="A1031" s="5"/>
      <c r="E1031" s="5"/>
      <c r="F1031" s="74"/>
      <c r="G1031" s="5"/>
      <c r="K1031" s="64"/>
      <c r="L1031" s="63"/>
      <c r="O1031" s="63"/>
    </row>
    <row r="1032">
      <c r="A1032" s="5"/>
      <c r="E1032" s="5"/>
      <c r="F1032" s="74"/>
      <c r="G1032" s="5"/>
      <c r="K1032" s="64"/>
      <c r="L1032" s="63"/>
      <c r="O1032" s="63"/>
    </row>
    <row r="1033">
      <c r="A1033" s="5"/>
      <c r="E1033" s="5"/>
      <c r="F1033" s="74"/>
      <c r="G1033" s="5"/>
      <c r="K1033" s="64"/>
      <c r="L1033" s="63"/>
      <c r="O1033" s="63"/>
    </row>
    <row r="1034">
      <c r="A1034" s="5"/>
      <c r="E1034" s="5"/>
      <c r="F1034" s="74"/>
      <c r="G1034" s="5"/>
      <c r="K1034" s="64"/>
      <c r="L1034" s="63"/>
      <c r="O1034" s="63"/>
    </row>
    <row r="1035">
      <c r="A1035" s="5"/>
      <c r="E1035" s="5"/>
      <c r="F1035" s="74"/>
      <c r="G1035" s="5"/>
      <c r="K1035" s="64"/>
      <c r="L1035" s="63"/>
      <c r="O1035" s="63"/>
    </row>
    <row r="1036">
      <c r="A1036" s="5"/>
      <c r="E1036" s="5"/>
      <c r="F1036" s="74"/>
      <c r="G1036" s="5"/>
      <c r="K1036" s="64"/>
      <c r="L1036" s="63"/>
      <c r="O1036" s="63"/>
    </row>
    <row r="1037">
      <c r="A1037" s="5"/>
      <c r="E1037" s="5"/>
      <c r="F1037" s="74"/>
      <c r="G1037" s="5"/>
      <c r="K1037" s="64"/>
      <c r="L1037" s="63"/>
      <c r="O1037" s="63"/>
    </row>
    <row r="1038">
      <c r="A1038" s="5"/>
      <c r="E1038" s="5"/>
      <c r="F1038" s="74"/>
      <c r="G1038" s="5"/>
      <c r="K1038" s="64"/>
      <c r="L1038" s="63"/>
      <c r="O1038" s="63"/>
    </row>
    <row r="1039">
      <c r="A1039" s="5"/>
      <c r="E1039" s="5"/>
      <c r="F1039" s="74"/>
      <c r="G1039" s="5"/>
      <c r="K1039" s="64"/>
      <c r="L1039" s="63"/>
      <c r="O1039" s="63"/>
    </row>
    <row r="1040">
      <c r="A1040" s="5"/>
      <c r="E1040" s="5"/>
      <c r="F1040" s="74"/>
      <c r="G1040" s="5"/>
      <c r="K1040" s="64"/>
      <c r="L1040" s="63"/>
      <c r="O1040" s="63"/>
    </row>
    <row r="1041">
      <c r="A1041" s="5"/>
      <c r="E1041" s="5"/>
      <c r="F1041" s="74"/>
      <c r="G1041" s="5"/>
      <c r="K1041" s="64"/>
      <c r="L1041" s="63"/>
      <c r="O1041" s="63"/>
    </row>
    <row r="1042">
      <c r="A1042" s="5"/>
      <c r="E1042" s="5"/>
      <c r="F1042" s="74"/>
      <c r="G1042" s="5"/>
      <c r="K1042" s="64"/>
      <c r="L1042" s="63"/>
      <c r="O1042" s="63"/>
    </row>
    <row r="1043">
      <c r="A1043" s="5"/>
      <c r="E1043" s="5"/>
      <c r="F1043" s="74"/>
      <c r="G1043" s="5"/>
      <c r="K1043" s="64"/>
      <c r="L1043" s="63"/>
      <c r="O1043" s="63"/>
    </row>
    <row r="1044">
      <c r="A1044" s="5"/>
      <c r="E1044" s="5"/>
      <c r="F1044" s="74"/>
      <c r="G1044" s="5"/>
      <c r="K1044" s="64"/>
      <c r="L1044" s="63"/>
      <c r="O1044" s="63"/>
    </row>
    <row r="1045">
      <c r="A1045" s="5"/>
      <c r="E1045" s="5"/>
      <c r="F1045" s="74"/>
      <c r="G1045" s="5"/>
      <c r="K1045" s="64"/>
      <c r="L1045" s="63"/>
      <c r="O1045" s="63"/>
    </row>
    <row r="1046">
      <c r="A1046" s="5"/>
      <c r="E1046" s="5"/>
      <c r="F1046" s="74"/>
      <c r="G1046" s="5"/>
      <c r="K1046" s="64"/>
      <c r="L1046" s="63"/>
      <c r="O1046" s="63"/>
    </row>
    <row r="1047">
      <c r="A1047" s="5"/>
      <c r="E1047" s="5"/>
      <c r="F1047" s="74"/>
      <c r="G1047" s="5"/>
      <c r="K1047" s="64"/>
      <c r="L1047" s="63"/>
      <c r="O1047" s="63"/>
    </row>
    <row r="1048">
      <c r="A1048" s="5"/>
      <c r="E1048" s="5"/>
      <c r="F1048" s="74"/>
      <c r="G1048" s="5"/>
      <c r="K1048" s="64"/>
      <c r="L1048" s="63"/>
      <c r="O1048" s="63"/>
    </row>
    <row r="1049">
      <c r="A1049" s="5"/>
      <c r="E1049" s="5"/>
      <c r="F1049" s="74"/>
      <c r="G1049" s="5"/>
      <c r="K1049" s="64"/>
      <c r="L1049" s="63"/>
      <c r="O1049" s="63"/>
    </row>
    <row r="1050">
      <c r="A1050" s="5"/>
      <c r="E1050" s="5"/>
      <c r="F1050" s="74"/>
      <c r="G1050" s="5"/>
      <c r="K1050" s="64"/>
      <c r="L1050" s="63"/>
      <c r="O1050" s="63"/>
    </row>
    <row r="1051">
      <c r="A1051" s="5"/>
      <c r="E1051" s="5"/>
      <c r="F1051" s="74"/>
      <c r="G1051" s="5"/>
      <c r="K1051" s="64"/>
      <c r="L1051" s="63"/>
      <c r="O1051" s="63"/>
    </row>
    <row r="1052">
      <c r="A1052" s="5"/>
      <c r="E1052" s="5"/>
      <c r="F1052" s="74"/>
      <c r="G1052" s="5"/>
      <c r="K1052" s="64"/>
      <c r="L1052" s="63"/>
      <c r="O1052" s="63"/>
    </row>
    <row r="1053">
      <c r="A1053" s="5"/>
      <c r="E1053" s="5"/>
      <c r="F1053" s="74"/>
      <c r="G1053" s="5"/>
      <c r="K1053" s="64"/>
      <c r="L1053" s="63"/>
      <c r="O1053" s="63"/>
    </row>
    <row r="1054">
      <c r="A1054" s="5"/>
      <c r="E1054" s="5"/>
      <c r="F1054" s="74"/>
      <c r="G1054" s="5"/>
      <c r="K1054" s="64"/>
      <c r="L1054" s="63"/>
      <c r="O1054" s="63"/>
    </row>
    <row r="1055">
      <c r="A1055" s="5"/>
      <c r="E1055" s="5"/>
      <c r="F1055" s="74"/>
      <c r="G1055" s="5"/>
      <c r="K1055" s="64"/>
      <c r="L1055" s="63"/>
      <c r="O1055" s="63"/>
    </row>
    <row r="1056">
      <c r="A1056" s="5"/>
      <c r="E1056" s="5"/>
      <c r="F1056" s="74"/>
      <c r="G1056" s="5"/>
      <c r="K1056" s="64"/>
      <c r="L1056" s="63"/>
      <c r="O1056" s="63"/>
    </row>
    <row r="1057">
      <c r="A1057" s="5"/>
      <c r="E1057" s="5"/>
      <c r="F1057" s="74"/>
      <c r="G1057" s="5"/>
      <c r="K1057" s="64"/>
      <c r="L1057" s="63"/>
      <c r="O1057" s="63"/>
    </row>
    <row r="1058">
      <c r="A1058" s="5"/>
      <c r="E1058" s="5"/>
      <c r="F1058" s="74"/>
      <c r="G1058" s="5"/>
      <c r="K1058" s="64"/>
      <c r="L1058" s="63"/>
      <c r="O1058" s="63"/>
    </row>
    <row r="1059">
      <c r="A1059" s="5"/>
      <c r="E1059" s="5"/>
      <c r="F1059" s="74"/>
      <c r="G1059" s="5"/>
      <c r="K1059" s="64"/>
      <c r="L1059" s="63"/>
      <c r="O1059" s="63"/>
    </row>
    <row r="1060">
      <c r="A1060" s="5"/>
      <c r="E1060" s="5"/>
      <c r="F1060" s="74"/>
      <c r="G1060" s="5"/>
      <c r="K1060" s="64"/>
      <c r="L1060" s="63"/>
      <c r="O1060" s="63"/>
    </row>
    <row r="1061">
      <c r="A1061" s="5"/>
      <c r="E1061" s="5"/>
      <c r="F1061" s="74"/>
      <c r="G1061" s="5"/>
      <c r="K1061" s="64"/>
      <c r="L1061" s="63"/>
      <c r="O1061" s="63"/>
    </row>
    <row r="1062">
      <c r="A1062" s="5"/>
      <c r="E1062" s="5"/>
      <c r="F1062" s="74"/>
      <c r="G1062" s="5"/>
      <c r="K1062" s="64"/>
      <c r="L1062" s="63"/>
      <c r="O1062" s="63"/>
    </row>
    <row r="1063">
      <c r="A1063" s="5"/>
      <c r="E1063" s="5"/>
      <c r="F1063" s="74"/>
      <c r="G1063" s="5"/>
      <c r="K1063" s="64"/>
      <c r="L1063" s="63"/>
      <c r="O1063" s="63"/>
    </row>
    <row r="1064">
      <c r="A1064" s="5"/>
      <c r="E1064" s="5"/>
      <c r="F1064" s="74"/>
      <c r="G1064" s="5"/>
      <c r="K1064" s="64"/>
      <c r="L1064" s="63"/>
      <c r="O1064" s="63"/>
    </row>
    <row r="1065">
      <c r="A1065" s="5"/>
      <c r="E1065" s="5"/>
      <c r="F1065" s="74"/>
      <c r="G1065" s="5"/>
      <c r="K1065" s="64"/>
      <c r="L1065" s="63"/>
      <c r="O1065" s="63"/>
    </row>
    <row r="1066">
      <c r="A1066" s="5"/>
      <c r="E1066" s="5"/>
      <c r="F1066" s="74"/>
      <c r="G1066" s="5"/>
      <c r="K1066" s="64"/>
      <c r="L1066" s="63"/>
      <c r="O1066" s="63"/>
    </row>
    <row r="1067">
      <c r="A1067" s="5"/>
      <c r="E1067" s="5"/>
      <c r="F1067" s="74"/>
      <c r="G1067" s="5"/>
      <c r="K1067" s="64"/>
      <c r="L1067" s="63"/>
      <c r="O1067" s="63"/>
    </row>
    <row r="1068">
      <c r="A1068" s="5"/>
      <c r="E1068" s="5"/>
      <c r="F1068" s="74"/>
      <c r="G1068" s="5"/>
      <c r="K1068" s="64"/>
      <c r="L1068" s="63"/>
      <c r="O1068" s="63"/>
    </row>
    <row r="1069">
      <c r="A1069" s="5"/>
      <c r="E1069" s="5"/>
      <c r="F1069" s="74"/>
      <c r="G1069" s="5"/>
      <c r="K1069" s="64"/>
      <c r="L1069" s="63"/>
      <c r="O1069" s="63"/>
    </row>
  </sheetData>
  <hyperlinks>
    <hyperlink r:id="rId2" location="gid=1892953359" ref="G3"/>
    <hyperlink r:id="rId3" ref="F4"/>
    <hyperlink r:id="rId4" location="slide=id.g31485516123_0_103" ref="G4"/>
    <hyperlink r:id="rId5" ref="F6"/>
    <hyperlink r:id="rId6" location="gid=736793826" ref="G6"/>
    <hyperlink r:id="rId7" ref="F8"/>
    <hyperlink r:id="rId8" ref="I9"/>
    <hyperlink r:id="rId9" ref="F10"/>
    <hyperlink r:id="rId10" ref="I10"/>
    <hyperlink r:id="rId11" ref="F12"/>
    <hyperlink r:id="rId12" ref="F14"/>
    <hyperlink r:id="rId13" ref="F15"/>
    <hyperlink r:id="rId14" location="gid=0" ref="G15"/>
    <hyperlink r:id="rId15" ref="F18"/>
    <hyperlink r:id="rId16" ref="F19"/>
    <hyperlink r:id="rId17" ref="F20"/>
    <hyperlink r:id="rId18" ref="F21"/>
    <hyperlink r:id="rId19" ref="F22"/>
    <hyperlink r:id="rId20" ref="F25"/>
    <hyperlink r:id="rId21" location="gid=302507019" ref="G25"/>
    <hyperlink r:id="rId22" ref="G26"/>
    <hyperlink r:id="rId23" ref="F28"/>
    <hyperlink r:id="rId24" ref="F29"/>
    <hyperlink r:id="rId25" ref="F36"/>
    <hyperlink r:id="rId26" ref="F37"/>
    <hyperlink r:id="rId27" ref="F38"/>
    <hyperlink r:id="rId28" ref="F39"/>
    <hyperlink r:id="rId29" ref="G40"/>
    <hyperlink r:id="rId30" ref="G41"/>
    <hyperlink r:id="rId31" ref="F42"/>
    <hyperlink r:id="rId32" ref="F44"/>
    <hyperlink r:id="rId33" ref="G44"/>
    <hyperlink r:id="rId34" ref="F45"/>
    <hyperlink r:id="rId35" ref="F46"/>
    <hyperlink r:id="rId36" ref="F63"/>
    <hyperlink r:id="rId37" ref="F64"/>
    <hyperlink r:id="rId38" ref="F65"/>
    <hyperlink r:id="rId39" ref="F66"/>
    <hyperlink r:id="rId40" ref="F67"/>
    <hyperlink r:id="rId41" location="gid=593868678" ref="F68"/>
    <hyperlink r:id="rId42" ref="F70"/>
    <hyperlink r:id="rId43" ref="F73"/>
    <hyperlink r:id="rId44" ref="G80"/>
    <hyperlink r:id="rId45" ref="F81"/>
    <hyperlink r:id="rId46" ref="F82"/>
    <hyperlink r:id="rId47" ref="F83"/>
    <hyperlink r:id="rId48" ref="F84"/>
    <hyperlink r:id="rId49" ref="F92"/>
    <hyperlink r:id="rId50" ref="F93"/>
    <hyperlink r:id="rId51" ref="F94"/>
    <hyperlink r:id="rId52" ref="F95"/>
    <hyperlink r:id="rId53" ref="F96"/>
    <hyperlink r:id="rId54" ref="F97"/>
    <hyperlink r:id="rId55" ref="F98"/>
    <hyperlink r:id="rId56" ref="F99"/>
    <hyperlink r:id="rId57" ref="G100"/>
    <hyperlink r:id="rId58" ref="F101"/>
    <hyperlink r:id="rId59" ref="F103"/>
    <hyperlink r:id="rId60" ref="F104"/>
    <hyperlink r:id="rId61" location="1026947242" ref="F106"/>
    <hyperlink r:id="rId62" ref="G106"/>
    <hyperlink r:id="rId63" ref="F107"/>
    <hyperlink r:id="rId64" ref="F108"/>
    <hyperlink r:id="rId65" ref="F110"/>
    <hyperlink r:id="rId66" ref="F111"/>
    <hyperlink r:id="rId67" location="slide=id.g2d8cd35410c_0_289" ref="F112"/>
    <hyperlink r:id="rId68" ref="F113"/>
    <hyperlink r:id="rId69" location="1120078819" ref="F120"/>
    <hyperlink r:id="rId70" ref="F121"/>
  </hyperlinks>
  <drawing r:id="rId71"/>
  <legacyDrawing r:id="rId7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s>
  <sheetData>
    <row r="1">
      <c r="A1" s="6" t="s">
        <v>433</v>
      </c>
      <c r="B1" s="6" t="s">
        <v>40</v>
      </c>
      <c r="C1" s="6" t="s">
        <v>434</v>
      </c>
      <c r="D1" s="6" t="s">
        <v>44</v>
      </c>
      <c r="E1" s="6" t="s">
        <v>45</v>
      </c>
      <c r="F1" s="6" t="s">
        <v>435</v>
      </c>
      <c r="G1" s="6" t="s">
        <v>37</v>
      </c>
      <c r="H1" s="6" t="s">
        <v>48</v>
      </c>
      <c r="I1" s="6" t="s">
        <v>50</v>
      </c>
      <c r="J1" s="6" t="s">
        <v>52</v>
      </c>
      <c r="K1" s="6" t="s">
        <v>54</v>
      </c>
    </row>
    <row r="2">
      <c r="A2" s="13" t="s">
        <v>11</v>
      </c>
      <c r="B2" s="13" t="s">
        <v>436</v>
      </c>
      <c r="D2" s="46" t="s">
        <v>437</v>
      </c>
      <c r="E2" s="46" t="s">
        <v>438</v>
      </c>
      <c r="F2" s="13" t="s">
        <v>439</v>
      </c>
      <c r="G2" s="24">
        <v>0.02</v>
      </c>
      <c r="H2" s="13" t="s">
        <v>440</v>
      </c>
      <c r="I2" s="42">
        <v>45589.0</v>
      </c>
    </row>
    <row r="3">
      <c r="G3" s="64"/>
    </row>
    <row r="4">
      <c r="G4" s="64"/>
    </row>
    <row r="5">
      <c r="G5" s="64"/>
    </row>
    <row r="6">
      <c r="G6" s="64"/>
    </row>
    <row r="7">
      <c r="G7" s="64"/>
    </row>
    <row r="8">
      <c r="G8" s="64"/>
    </row>
    <row r="9">
      <c r="G9" s="64"/>
    </row>
    <row r="10">
      <c r="G10" s="64"/>
    </row>
    <row r="11">
      <c r="G11" s="64"/>
    </row>
    <row r="12">
      <c r="G12" s="64"/>
    </row>
    <row r="13">
      <c r="G13" s="64"/>
    </row>
    <row r="14">
      <c r="G14" s="64"/>
    </row>
    <row r="15">
      <c r="G15" s="64"/>
    </row>
    <row r="16">
      <c r="G16" s="64"/>
    </row>
    <row r="17">
      <c r="G17" s="64"/>
    </row>
    <row r="18">
      <c r="G18" s="64"/>
    </row>
    <row r="19">
      <c r="G19" s="64"/>
    </row>
    <row r="20">
      <c r="G20" s="64"/>
    </row>
    <row r="21">
      <c r="G21" s="64"/>
    </row>
    <row r="22">
      <c r="G22" s="64"/>
    </row>
    <row r="23">
      <c r="G23" s="64"/>
    </row>
    <row r="24">
      <c r="G24" s="64"/>
    </row>
    <row r="25">
      <c r="G25" s="64"/>
    </row>
    <row r="26">
      <c r="G26" s="64"/>
    </row>
    <row r="27">
      <c r="G27" s="64"/>
    </row>
    <row r="28">
      <c r="G28" s="64"/>
    </row>
    <row r="29">
      <c r="G29" s="64"/>
    </row>
    <row r="30">
      <c r="G30" s="64"/>
    </row>
    <row r="31">
      <c r="G31" s="64"/>
    </row>
    <row r="32">
      <c r="G32" s="64"/>
    </row>
    <row r="33">
      <c r="G33" s="64"/>
    </row>
    <row r="34">
      <c r="G34" s="64"/>
    </row>
    <row r="35">
      <c r="G35" s="64"/>
    </row>
    <row r="36">
      <c r="G36" s="64"/>
    </row>
    <row r="37">
      <c r="G37" s="64"/>
    </row>
    <row r="38">
      <c r="G38" s="64"/>
    </row>
    <row r="39">
      <c r="G39" s="64"/>
    </row>
    <row r="40">
      <c r="G40" s="64"/>
    </row>
    <row r="41">
      <c r="G41" s="64"/>
    </row>
    <row r="42">
      <c r="G42" s="64"/>
    </row>
    <row r="43">
      <c r="G43" s="64"/>
    </row>
    <row r="44">
      <c r="G44" s="64"/>
    </row>
    <row r="45">
      <c r="G45" s="64"/>
    </row>
    <row r="46">
      <c r="G46" s="64"/>
    </row>
    <row r="47">
      <c r="G47" s="64"/>
    </row>
    <row r="48">
      <c r="G48" s="64"/>
    </row>
    <row r="49">
      <c r="G49" s="64"/>
    </row>
    <row r="50">
      <c r="G50" s="64"/>
    </row>
    <row r="51">
      <c r="G51" s="64"/>
    </row>
    <row r="52">
      <c r="G52" s="64"/>
    </row>
    <row r="53">
      <c r="G53" s="64"/>
    </row>
    <row r="54">
      <c r="G54" s="64"/>
    </row>
    <row r="55">
      <c r="G55" s="64"/>
    </row>
    <row r="56">
      <c r="G56" s="64"/>
    </row>
    <row r="57">
      <c r="G57" s="64"/>
    </row>
    <row r="58">
      <c r="G58" s="64"/>
    </row>
    <row r="59">
      <c r="G59" s="64"/>
    </row>
    <row r="60">
      <c r="G60" s="64"/>
    </row>
    <row r="61">
      <c r="G61" s="64"/>
    </row>
    <row r="62">
      <c r="G62" s="64"/>
    </row>
    <row r="63">
      <c r="G63" s="64"/>
    </row>
    <row r="64">
      <c r="G64" s="64"/>
    </row>
    <row r="65">
      <c r="G65" s="64"/>
    </row>
    <row r="66">
      <c r="G66" s="64"/>
    </row>
    <row r="67">
      <c r="G67" s="64"/>
    </row>
    <row r="68">
      <c r="G68" s="64"/>
    </row>
    <row r="69">
      <c r="G69" s="64"/>
    </row>
    <row r="70">
      <c r="G70" s="64"/>
    </row>
    <row r="71">
      <c r="G71" s="64"/>
    </row>
    <row r="72">
      <c r="G72" s="64"/>
    </row>
    <row r="73">
      <c r="G73" s="64"/>
    </row>
    <row r="74">
      <c r="G74" s="64"/>
    </row>
    <row r="75">
      <c r="G75" s="64"/>
    </row>
    <row r="76">
      <c r="G76" s="64"/>
    </row>
    <row r="77">
      <c r="G77" s="64"/>
    </row>
    <row r="78">
      <c r="G78" s="64"/>
    </row>
    <row r="79">
      <c r="G79" s="64"/>
    </row>
    <row r="80">
      <c r="G80" s="64"/>
    </row>
    <row r="81">
      <c r="G81" s="64"/>
    </row>
    <row r="82">
      <c r="G82" s="64"/>
    </row>
    <row r="83">
      <c r="G83" s="64"/>
    </row>
    <row r="84">
      <c r="G84" s="64"/>
    </row>
    <row r="85">
      <c r="G85" s="64"/>
    </row>
    <row r="86">
      <c r="G86" s="64"/>
    </row>
    <row r="87">
      <c r="G87" s="64"/>
    </row>
    <row r="88">
      <c r="G88" s="64"/>
    </row>
    <row r="89">
      <c r="G89" s="64"/>
    </row>
    <row r="90">
      <c r="G90" s="64"/>
    </row>
    <row r="91">
      <c r="G91" s="64"/>
    </row>
    <row r="92">
      <c r="G92" s="64"/>
    </row>
    <row r="93">
      <c r="G93" s="64"/>
    </row>
    <row r="94">
      <c r="G94" s="64"/>
    </row>
    <row r="95">
      <c r="G95" s="64"/>
    </row>
    <row r="96">
      <c r="G96" s="64"/>
    </row>
    <row r="97">
      <c r="G97" s="64"/>
    </row>
    <row r="98">
      <c r="G98" s="64"/>
    </row>
    <row r="99">
      <c r="G99" s="64"/>
    </row>
    <row r="100">
      <c r="G100" s="64"/>
    </row>
    <row r="101">
      <c r="G101" s="64"/>
    </row>
    <row r="102">
      <c r="G102" s="64"/>
    </row>
    <row r="103">
      <c r="G103" s="64"/>
    </row>
    <row r="104">
      <c r="G104" s="64"/>
    </row>
    <row r="105">
      <c r="G105" s="64"/>
    </row>
    <row r="106">
      <c r="G106" s="64"/>
    </row>
    <row r="107">
      <c r="G107" s="64"/>
    </row>
    <row r="108">
      <c r="G108" s="64"/>
    </row>
    <row r="109">
      <c r="G109" s="64"/>
    </row>
    <row r="110">
      <c r="G110" s="64"/>
    </row>
    <row r="111">
      <c r="G111" s="64"/>
    </row>
    <row r="112">
      <c r="G112" s="64"/>
    </row>
    <row r="113">
      <c r="G113" s="64"/>
    </row>
    <row r="114">
      <c r="G114" s="64"/>
    </row>
    <row r="115">
      <c r="G115" s="64"/>
    </row>
    <row r="116">
      <c r="G116" s="64"/>
    </row>
    <row r="117">
      <c r="G117" s="64"/>
    </row>
    <row r="118">
      <c r="G118" s="64"/>
    </row>
    <row r="119">
      <c r="G119" s="64"/>
    </row>
    <row r="120">
      <c r="G120" s="64"/>
    </row>
    <row r="121">
      <c r="G121" s="64"/>
    </row>
    <row r="122">
      <c r="G122" s="64"/>
    </row>
    <row r="123">
      <c r="G123" s="64"/>
    </row>
    <row r="124">
      <c r="G124" s="64"/>
    </row>
    <row r="125">
      <c r="G125" s="64"/>
    </row>
    <row r="126">
      <c r="G126" s="64"/>
    </row>
    <row r="127">
      <c r="G127" s="64"/>
    </row>
    <row r="128">
      <c r="G128" s="64"/>
    </row>
    <row r="129">
      <c r="G129" s="64"/>
    </row>
    <row r="130">
      <c r="G130" s="64"/>
    </row>
    <row r="131">
      <c r="G131" s="64"/>
    </row>
    <row r="132">
      <c r="G132" s="64"/>
    </row>
    <row r="133">
      <c r="G133" s="64"/>
    </row>
    <row r="134">
      <c r="G134" s="64"/>
    </row>
    <row r="135">
      <c r="G135" s="64"/>
    </row>
    <row r="136">
      <c r="G136" s="64"/>
    </row>
    <row r="137">
      <c r="G137" s="64"/>
    </row>
    <row r="138">
      <c r="G138" s="64"/>
    </row>
    <row r="139">
      <c r="G139" s="64"/>
    </row>
    <row r="140">
      <c r="G140" s="64"/>
    </row>
    <row r="141">
      <c r="G141" s="64"/>
    </row>
    <row r="142">
      <c r="G142" s="64"/>
    </row>
    <row r="143">
      <c r="G143" s="64"/>
    </row>
    <row r="144">
      <c r="G144" s="64"/>
    </row>
    <row r="145">
      <c r="G145" s="64"/>
    </row>
    <row r="146">
      <c r="G146" s="64"/>
    </row>
    <row r="147">
      <c r="G147" s="64"/>
    </row>
    <row r="148">
      <c r="G148" s="64"/>
    </row>
    <row r="149">
      <c r="G149" s="64"/>
    </row>
    <row r="150">
      <c r="G150" s="64"/>
    </row>
    <row r="151">
      <c r="G151" s="64"/>
    </row>
    <row r="152">
      <c r="G152" s="64"/>
    </row>
    <row r="153">
      <c r="G153" s="64"/>
    </row>
    <row r="154">
      <c r="G154" s="64"/>
    </row>
    <row r="155">
      <c r="G155" s="64"/>
    </row>
    <row r="156">
      <c r="G156" s="64"/>
    </row>
    <row r="157">
      <c r="G157" s="64"/>
    </row>
    <row r="158">
      <c r="G158" s="64"/>
    </row>
    <row r="159">
      <c r="G159" s="64"/>
    </row>
    <row r="160">
      <c r="G160" s="64"/>
    </row>
    <row r="161">
      <c r="G161" s="64"/>
    </row>
    <row r="162">
      <c r="G162" s="64"/>
    </row>
    <row r="163">
      <c r="G163" s="64"/>
    </row>
    <row r="164">
      <c r="G164" s="64"/>
    </row>
    <row r="165">
      <c r="G165" s="64"/>
    </row>
    <row r="166">
      <c r="G166" s="64"/>
    </row>
    <row r="167">
      <c r="G167" s="64"/>
    </row>
    <row r="168">
      <c r="G168" s="64"/>
    </row>
    <row r="169">
      <c r="G169" s="64"/>
    </row>
    <row r="170">
      <c r="G170" s="64"/>
    </row>
    <row r="171">
      <c r="G171" s="64"/>
    </row>
    <row r="172">
      <c r="G172" s="64"/>
    </row>
    <row r="173">
      <c r="G173" s="64"/>
    </row>
    <row r="174">
      <c r="G174" s="64"/>
    </row>
    <row r="175">
      <c r="G175" s="64"/>
    </row>
    <row r="176">
      <c r="G176" s="64"/>
    </row>
    <row r="177">
      <c r="G177" s="64"/>
    </row>
    <row r="178">
      <c r="G178" s="64"/>
    </row>
    <row r="179">
      <c r="G179" s="64"/>
    </row>
    <row r="180">
      <c r="G180" s="64"/>
    </row>
    <row r="181">
      <c r="G181" s="64"/>
    </row>
    <row r="182">
      <c r="G182" s="64"/>
    </row>
    <row r="183">
      <c r="G183" s="64"/>
    </row>
    <row r="184">
      <c r="G184" s="64"/>
    </row>
    <row r="185">
      <c r="G185" s="64"/>
    </row>
    <row r="186">
      <c r="G186" s="64"/>
    </row>
    <row r="187">
      <c r="G187" s="64"/>
    </row>
    <row r="188">
      <c r="G188" s="64"/>
    </row>
    <row r="189">
      <c r="G189" s="64"/>
    </row>
    <row r="190">
      <c r="G190" s="64"/>
    </row>
    <row r="191">
      <c r="G191" s="64"/>
    </row>
    <row r="192">
      <c r="G192" s="64"/>
    </row>
    <row r="193">
      <c r="G193" s="64"/>
    </row>
    <row r="194">
      <c r="G194" s="64"/>
    </row>
    <row r="195">
      <c r="G195" s="64"/>
    </row>
    <row r="196">
      <c r="G196" s="64"/>
    </row>
    <row r="197">
      <c r="G197" s="64"/>
    </row>
    <row r="198">
      <c r="G198" s="64"/>
    </row>
    <row r="199">
      <c r="G199" s="64"/>
    </row>
    <row r="200">
      <c r="G200" s="64"/>
    </row>
    <row r="201">
      <c r="G201" s="64"/>
    </row>
    <row r="202">
      <c r="G202" s="64"/>
    </row>
    <row r="203">
      <c r="G203" s="64"/>
    </row>
    <row r="204">
      <c r="G204" s="64"/>
    </row>
    <row r="205">
      <c r="G205" s="64"/>
    </row>
    <row r="206">
      <c r="G206" s="64"/>
    </row>
    <row r="207">
      <c r="G207" s="64"/>
    </row>
    <row r="208">
      <c r="G208" s="64"/>
    </row>
    <row r="209">
      <c r="G209" s="64"/>
    </row>
    <row r="210">
      <c r="G210" s="64"/>
    </row>
    <row r="211">
      <c r="G211" s="64"/>
    </row>
    <row r="212">
      <c r="G212" s="64"/>
    </row>
    <row r="213">
      <c r="G213" s="64"/>
    </row>
    <row r="214">
      <c r="G214" s="64"/>
    </row>
    <row r="215">
      <c r="G215" s="64"/>
    </row>
    <row r="216">
      <c r="G216" s="64"/>
    </row>
    <row r="217">
      <c r="G217" s="64"/>
    </row>
    <row r="218">
      <c r="G218" s="64"/>
    </row>
    <row r="219">
      <c r="G219" s="64"/>
    </row>
    <row r="220">
      <c r="G220" s="64"/>
    </row>
    <row r="221">
      <c r="G221" s="64"/>
    </row>
    <row r="222">
      <c r="G222" s="64"/>
    </row>
    <row r="223">
      <c r="G223" s="64"/>
    </row>
    <row r="224">
      <c r="G224" s="64"/>
    </row>
    <row r="225">
      <c r="G225" s="64"/>
    </row>
    <row r="226">
      <c r="G226" s="64"/>
    </row>
    <row r="227">
      <c r="G227" s="64"/>
    </row>
    <row r="228">
      <c r="G228" s="64"/>
    </row>
    <row r="229">
      <c r="G229" s="64"/>
    </row>
    <row r="230">
      <c r="G230" s="64"/>
    </row>
    <row r="231">
      <c r="G231" s="64"/>
    </row>
    <row r="232">
      <c r="G232" s="64"/>
    </row>
    <row r="233">
      <c r="G233" s="64"/>
    </row>
    <row r="234">
      <c r="G234" s="64"/>
    </row>
    <row r="235">
      <c r="G235" s="64"/>
    </row>
    <row r="236">
      <c r="G236" s="64"/>
    </row>
    <row r="237">
      <c r="G237" s="64"/>
    </row>
    <row r="238">
      <c r="G238" s="64"/>
    </row>
    <row r="239">
      <c r="G239" s="64"/>
    </row>
    <row r="240">
      <c r="G240" s="64"/>
    </row>
    <row r="241">
      <c r="G241" s="64"/>
    </row>
    <row r="242">
      <c r="G242" s="64"/>
    </row>
    <row r="243">
      <c r="G243" s="64"/>
    </row>
    <row r="244">
      <c r="G244" s="64"/>
    </row>
    <row r="245">
      <c r="G245" s="64"/>
    </row>
    <row r="246">
      <c r="G246" s="64"/>
    </row>
    <row r="247">
      <c r="G247" s="64"/>
    </row>
    <row r="248">
      <c r="G248" s="64"/>
    </row>
    <row r="249">
      <c r="G249" s="64"/>
    </row>
    <row r="250">
      <c r="G250" s="64"/>
    </row>
    <row r="251">
      <c r="G251" s="64"/>
    </row>
    <row r="252">
      <c r="G252" s="64"/>
    </row>
    <row r="253">
      <c r="G253" s="64"/>
    </row>
    <row r="254">
      <c r="G254" s="64"/>
    </row>
    <row r="255">
      <c r="G255" s="64"/>
    </row>
    <row r="256">
      <c r="G256" s="64"/>
    </row>
    <row r="257">
      <c r="G257" s="64"/>
    </row>
    <row r="258">
      <c r="G258" s="64"/>
    </row>
    <row r="259">
      <c r="G259" s="64"/>
    </row>
    <row r="260">
      <c r="G260" s="64"/>
    </row>
    <row r="261">
      <c r="G261" s="64"/>
    </row>
    <row r="262">
      <c r="G262" s="64"/>
    </row>
    <row r="263">
      <c r="G263" s="64"/>
    </row>
    <row r="264">
      <c r="G264" s="64"/>
    </row>
    <row r="265">
      <c r="G265" s="64"/>
    </row>
    <row r="266">
      <c r="G266" s="64"/>
    </row>
    <row r="267">
      <c r="G267" s="64"/>
    </row>
    <row r="268">
      <c r="G268" s="64"/>
    </row>
    <row r="269">
      <c r="G269" s="64"/>
    </row>
    <row r="270">
      <c r="G270" s="64"/>
    </row>
    <row r="271">
      <c r="G271" s="64"/>
    </row>
    <row r="272">
      <c r="G272" s="64"/>
    </row>
    <row r="273">
      <c r="G273" s="64"/>
    </row>
    <row r="274">
      <c r="G274" s="64"/>
    </row>
    <row r="275">
      <c r="G275" s="64"/>
    </row>
    <row r="276">
      <c r="G276" s="64"/>
    </row>
    <row r="277">
      <c r="G277" s="64"/>
    </row>
    <row r="278">
      <c r="G278" s="64"/>
    </row>
    <row r="279">
      <c r="G279" s="64"/>
    </row>
    <row r="280">
      <c r="G280" s="64"/>
    </row>
    <row r="281">
      <c r="G281" s="64"/>
    </row>
    <row r="282">
      <c r="G282" s="64"/>
    </row>
    <row r="283">
      <c r="G283" s="64"/>
    </row>
    <row r="284">
      <c r="G284" s="64"/>
    </row>
    <row r="285">
      <c r="G285" s="64"/>
    </row>
    <row r="286">
      <c r="G286" s="64"/>
    </row>
    <row r="287">
      <c r="G287" s="64"/>
    </row>
    <row r="288">
      <c r="G288" s="64"/>
    </row>
    <row r="289">
      <c r="G289" s="64"/>
    </row>
    <row r="290">
      <c r="G290" s="64"/>
    </row>
    <row r="291">
      <c r="G291" s="64"/>
    </row>
    <row r="292">
      <c r="G292" s="64"/>
    </row>
    <row r="293">
      <c r="G293" s="64"/>
    </row>
    <row r="294">
      <c r="G294" s="64"/>
    </row>
    <row r="295">
      <c r="G295" s="64"/>
    </row>
    <row r="296">
      <c r="G296" s="64"/>
    </row>
    <row r="297">
      <c r="G297" s="64"/>
    </row>
    <row r="298">
      <c r="G298" s="64"/>
    </row>
    <row r="299">
      <c r="G299" s="64"/>
    </row>
    <row r="300">
      <c r="G300" s="64"/>
    </row>
    <row r="301">
      <c r="G301" s="64"/>
    </row>
    <row r="302">
      <c r="G302" s="64"/>
    </row>
    <row r="303">
      <c r="G303" s="64"/>
    </row>
    <row r="304">
      <c r="G304" s="64"/>
    </row>
    <row r="305">
      <c r="G305" s="64"/>
    </row>
    <row r="306">
      <c r="G306" s="64"/>
    </row>
    <row r="307">
      <c r="G307" s="64"/>
    </row>
    <row r="308">
      <c r="G308" s="64"/>
    </row>
    <row r="309">
      <c r="G309" s="64"/>
    </row>
    <row r="310">
      <c r="G310" s="64"/>
    </row>
    <row r="311">
      <c r="G311" s="64"/>
    </row>
    <row r="312">
      <c r="G312" s="64"/>
    </row>
    <row r="313">
      <c r="G313" s="64"/>
    </row>
    <row r="314">
      <c r="G314" s="64"/>
    </row>
    <row r="315">
      <c r="G315" s="64"/>
    </row>
    <row r="316">
      <c r="G316" s="64"/>
    </row>
    <row r="317">
      <c r="G317" s="64"/>
    </row>
    <row r="318">
      <c r="G318" s="64"/>
    </row>
    <row r="319">
      <c r="G319" s="64"/>
    </row>
    <row r="320">
      <c r="G320" s="64"/>
    </row>
    <row r="321">
      <c r="G321" s="64"/>
    </row>
    <row r="322">
      <c r="G322" s="64"/>
    </row>
    <row r="323">
      <c r="G323" s="64"/>
    </row>
    <row r="324">
      <c r="G324" s="64"/>
    </row>
    <row r="325">
      <c r="G325" s="64"/>
    </row>
    <row r="326">
      <c r="G326" s="64"/>
    </row>
    <row r="327">
      <c r="G327" s="64"/>
    </row>
    <row r="328">
      <c r="G328" s="64"/>
    </row>
    <row r="329">
      <c r="G329" s="64"/>
    </row>
    <row r="330">
      <c r="G330" s="64"/>
    </row>
    <row r="331">
      <c r="G331" s="64"/>
    </row>
    <row r="332">
      <c r="G332" s="64"/>
    </row>
    <row r="333">
      <c r="G333" s="64"/>
    </row>
    <row r="334">
      <c r="G334" s="64"/>
    </row>
    <row r="335">
      <c r="G335" s="64"/>
    </row>
    <row r="336">
      <c r="G336" s="64"/>
    </row>
    <row r="337">
      <c r="G337" s="64"/>
    </row>
    <row r="338">
      <c r="G338" s="64"/>
    </row>
    <row r="339">
      <c r="G339" s="64"/>
    </row>
    <row r="340">
      <c r="G340" s="64"/>
    </row>
    <row r="341">
      <c r="G341" s="64"/>
    </row>
    <row r="342">
      <c r="G342" s="64"/>
    </row>
    <row r="343">
      <c r="G343" s="64"/>
    </row>
    <row r="344">
      <c r="G344" s="64"/>
    </row>
    <row r="345">
      <c r="G345" s="64"/>
    </row>
    <row r="346">
      <c r="G346" s="64"/>
    </row>
    <row r="347">
      <c r="G347" s="64"/>
    </row>
    <row r="348">
      <c r="G348" s="64"/>
    </row>
    <row r="349">
      <c r="G349" s="64"/>
    </row>
    <row r="350">
      <c r="G350" s="64"/>
    </row>
    <row r="351">
      <c r="G351" s="64"/>
    </row>
    <row r="352">
      <c r="G352" s="64"/>
    </row>
    <row r="353">
      <c r="G353" s="64"/>
    </row>
    <row r="354">
      <c r="G354" s="64"/>
    </row>
    <row r="355">
      <c r="G355" s="64"/>
    </row>
    <row r="356">
      <c r="G356" s="64"/>
    </row>
    <row r="357">
      <c r="G357" s="64"/>
    </row>
    <row r="358">
      <c r="G358" s="64"/>
    </row>
    <row r="359">
      <c r="G359" s="64"/>
    </row>
    <row r="360">
      <c r="G360" s="64"/>
    </row>
    <row r="361">
      <c r="G361" s="64"/>
    </row>
    <row r="362">
      <c r="G362" s="64"/>
    </row>
    <row r="363">
      <c r="G363" s="64"/>
    </row>
    <row r="364">
      <c r="G364" s="64"/>
    </row>
    <row r="365">
      <c r="G365" s="64"/>
    </row>
    <row r="366">
      <c r="G366" s="64"/>
    </row>
    <row r="367">
      <c r="G367" s="64"/>
    </row>
    <row r="368">
      <c r="G368" s="64"/>
    </row>
    <row r="369">
      <c r="G369" s="64"/>
    </row>
    <row r="370">
      <c r="G370" s="64"/>
    </row>
    <row r="371">
      <c r="G371" s="64"/>
    </row>
    <row r="372">
      <c r="G372" s="64"/>
    </row>
    <row r="373">
      <c r="G373" s="64"/>
    </row>
    <row r="374">
      <c r="G374" s="64"/>
    </row>
    <row r="375">
      <c r="G375" s="64"/>
    </row>
    <row r="376">
      <c r="G376" s="64"/>
    </row>
    <row r="377">
      <c r="G377" s="64"/>
    </row>
    <row r="378">
      <c r="G378" s="64"/>
    </row>
    <row r="379">
      <c r="G379" s="64"/>
    </row>
    <row r="380">
      <c r="G380" s="64"/>
    </row>
    <row r="381">
      <c r="G381" s="64"/>
    </row>
    <row r="382">
      <c r="G382" s="64"/>
    </row>
    <row r="383">
      <c r="G383" s="64"/>
    </row>
    <row r="384">
      <c r="G384" s="64"/>
    </row>
    <row r="385">
      <c r="G385" s="64"/>
    </row>
    <row r="386">
      <c r="G386" s="64"/>
    </row>
    <row r="387">
      <c r="G387" s="64"/>
    </row>
    <row r="388">
      <c r="G388" s="64"/>
    </row>
    <row r="389">
      <c r="G389" s="64"/>
    </row>
    <row r="390">
      <c r="G390" s="64"/>
    </row>
    <row r="391">
      <c r="G391" s="64"/>
    </row>
    <row r="392">
      <c r="G392" s="64"/>
    </row>
    <row r="393">
      <c r="G393" s="64"/>
    </row>
    <row r="394">
      <c r="G394" s="64"/>
    </row>
    <row r="395">
      <c r="G395" s="64"/>
    </row>
    <row r="396">
      <c r="G396" s="64"/>
    </row>
    <row r="397">
      <c r="G397" s="64"/>
    </row>
    <row r="398">
      <c r="G398" s="64"/>
    </row>
    <row r="399">
      <c r="G399" s="64"/>
    </row>
    <row r="400">
      <c r="G400" s="64"/>
    </row>
    <row r="401">
      <c r="G401" s="64"/>
    </row>
    <row r="402">
      <c r="G402" s="64"/>
    </row>
    <row r="403">
      <c r="G403" s="64"/>
    </row>
    <row r="404">
      <c r="G404" s="64"/>
    </row>
    <row r="405">
      <c r="G405" s="64"/>
    </row>
    <row r="406">
      <c r="G406" s="64"/>
    </row>
    <row r="407">
      <c r="G407" s="64"/>
    </row>
    <row r="408">
      <c r="G408" s="64"/>
    </row>
    <row r="409">
      <c r="G409" s="64"/>
    </row>
    <row r="410">
      <c r="G410" s="64"/>
    </row>
    <row r="411">
      <c r="G411" s="64"/>
    </row>
    <row r="412">
      <c r="G412" s="64"/>
    </row>
    <row r="413">
      <c r="G413" s="64"/>
    </row>
    <row r="414">
      <c r="G414" s="64"/>
    </row>
    <row r="415">
      <c r="G415" s="64"/>
    </row>
    <row r="416">
      <c r="G416" s="64"/>
    </row>
    <row r="417">
      <c r="G417" s="64"/>
    </row>
    <row r="418">
      <c r="G418" s="64"/>
    </row>
    <row r="419">
      <c r="G419" s="64"/>
    </row>
    <row r="420">
      <c r="G420" s="64"/>
    </row>
    <row r="421">
      <c r="G421" s="64"/>
    </row>
    <row r="422">
      <c r="G422" s="64"/>
    </row>
    <row r="423">
      <c r="G423" s="64"/>
    </row>
    <row r="424">
      <c r="G424" s="64"/>
    </row>
    <row r="425">
      <c r="G425" s="64"/>
    </row>
    <row r="426">
      <c r="G426" s="64"/>
    </row>
    <row r="427">
      <c r="G427" s="64"/>
    </row>
    <row r="428">
      <c r="G428" s="64"/>
    </row>
    <row r="429">
      <c r="G429" s="64"/>
    </row>
    <row r="430">
      <c r="G430" s="64"/>
    </row>
    <row r="431">
      <c r="G431" s="64"/>
    </row>
    <row r="432">
      <c r="G432" s="64"/>
    </row>
    <row r="433">
      <c r="G433" s="64"/>
    </row>
    <row r="434">
      <c r="G434" s="64"/>
    </row>
    <row r="435">
      <c r="G435" s="64"/>
    </row>
    <row r="436">
      <c r="G436" s="64"/>
    </row>
    <row r="437">
      <c r="G437" s="64"/>
    </row>
    <row r="438">
      <c r="G438" s="64"/>
    </row>
    <row r="439">
      <c r="G439" s="64"/>
    </row>
    <row r="440">
      <c r="G440" s="64"/>
    </row>
    <row r="441">
      <c r="G441" s="64"/>
    </row>
    <row r="442">
      <c r="G442" s="64"/>
    </row>
    <row r="443">
      <c r="G443" s="64"/>
    </row>
    <row r="444">
      <c r="G444" s="64"/>
    </row>
    <row r="445">
      <c r="G445" s="64"/>
    </row>
    <row r="446">
      <c r="G446" s="64"/>
    </row>
    <row r="447">
      <c r="G447" s="64"/>
    </row>
    <row r="448">
      <c r="G448" s="64"/>
    </row>
    <row r="449">
      <c r="G449" s="64"/>
    </row>
    <row r="450">
      <c r="G450" s="64"/>
    </row>
    <row r="451">
      <c r="G451" s="64"/>
    </row>
    <row r="452">
      <c r="G452" s="64"/>
    </row>
    <row r="453">
      <c r="G453" s="64"/>
    </row>
    <row r="454">
      <c r="G454" s="64"/>
    </row>
    <row r="455">
      <c r="G455" s="64"/>
    </row>
    <row r="456">
      <c r="G456" s="64"/>
    </row>
    <row r="457">
      <c r="G457" s="64"/>
    </row>
    <row r="458">
      <c r="G458" s="64"/>
    </row>
    <row r="459">
      <c r="G459" s="64"/>
    </row>
    <row r="460">
      <c r="G460" s="64"/>
    </row>
    <row r="461">
      <c r="G461" s="64"/>
    </row>
    <row r="462">
      <c r="G462" s="64"/>
    </row>
    <row r="463">
      <c r="G463" s="64"/>
    </row>
    <row r="464">
      <c r="G464" s="64"/>
    </row>
    <row r="465">
      <c r="G465" s="64"/>
    </row>
    <row r="466">
      <c r="G466" s="64"/>
    </row>
    <row r="467">
      <c r="G467" s="64"/>
    </row>
    <row r="468">
      <c r="G468" s="64"/>
    </row>
    <row r="469">
      <c r="G469" s="64"/>
    </row>
    <row r="470">
      <c r="G470" s="64"/>
    </row>
    <row r="471">
      <c r="G471" s="64"/>
    </row>
    <row r="472">
      <c r="G472" s="64"/>
    </row>
    <row r="473">
      <c r="G473" s="64"/>
    </row>
    <row r="474">
      <c r="G474" s="64"/>
    </row>
    <row r="475">
      <c r="G475" s="64"/>
    </row>
    <row r="476">
      <c r="G476" s="64"/>
    </row>
    <row r="477">
      <c r="G477" s="64"/>
    </row>
    <row r="478">
      <c r="G478" s="64"/>
    </row>
    <row r="479">
      <c r="G479" s="64"/>
    </row>
    <row r="480">
      <c r="G480" s="64"/>
    </row>
    <row r="481">
      <c r="G481" s="64"/>
    </row>
    <row r="482">
      <c r="G482" s="64"/>
    </row>
    <row r="483">
      <c r="G483" s="64"/>
    </row>
    <row r="484">
      <c r="G484" s="64"/>
    </row>
    <row r="485">
      <c r="G485" s="64"/>
    </row>
    <row r="486">
      <c r="G486" s="64"/>
    </row>
    <row r="487">
      <c r="G487" s="64"/>
    </row>
    <row r="488">
      <c r="G488" s="64"/>
    </row>
    <row r="489">
      <c r="G489" s="64"/>
    </row>
    <row r="490">
      <c r="G490" s="64"/>
    </row>
    <row r="491">
      <c r="G491" s="64"/>
    </row>
    <row r="492">
      <c r="G492" s="64"/>
    </row>
    <row r="493">
      <c r="G493" s="64"/>
    </row>
    <row r="494">
      <c r="G494" s="64"/>
    </row>
    <row r="495">
      <c r="G495" s="64"/>
    </row>
    <row r="496">
      <c r="G496" s="64"/>
    </row>
    <row r="497">
      <c r="G497" s="64"/>
    </row>
    <row r="498">
      <c r="G498" s="64"/>
    </row>
    <row r="499">
      <c r="G499" s="64"/>
    </row>
    <row r="500">
      <c r="G500" s="64"/>
    </row>
    <row r="501">
      <c r="G501" s="64"/>
    </row>
    <row r="502">
      <c r="G502" s="64"/>
    </row>
    <row r="503">
      <c r="G503" s="64"/>
    </row>
    <row r="504">
      <c r="G504" s="64"/>
    </row>
    <row r="505">
      <c r="G505" s="64"/>
    </row>
    <row r="506">
      <c r="G506" s="64"/>
    </row>
    <row r="507">
      <c r="G507" s="64"/>
    </row>
    <row r="508">
      <c r="G508" s="64"/>
    </row>
    <row r="509">
      <c r="G509" s="64"/>
    </row>
    <row r="510">
      <c r="G510" s="64"/>
    </row>
    <row r="511">
      <c r="G511" s="64"/>
    </row>
    <row r="512">
      <c r="G512" s="64"/>
    </row>
    <row r="513">
      <c r="G513" s="64"/>
    </row>
    <row r="514">
      <c r="G514" s="64"/>
    </row>
    <row r="515">
      <c r="G515" s="64"/>
    </row>
    <row r="516">
      <c r="G516" s="64"/>
    </row>
    <row r="517">
      <c r="G517" s="64"/>
    </row>
    <row r="518">
      <c r="G518" s="64"/>
    </row>
    <row r="519">
      <c r="G519" s="64"/>
    </row>
    <row r="520">
      <c r="G520" s="64"/>
    </row>
    <row r="521">
      <c r="G521" s="64"/>
    </row>
    <row r="522">
      <c r="G522" s="64"/>
    </row>
    <row r="523">
      <c r="G523" s="64"/>
    </row>
    <row r="524">
      <c r="G524" s="64"/>
    </row>
    <row r="525">
      <c r="G525" s="64"/>
    </row>
    <row r="526">
      <c r="G526" s="64"/>
    </row>
    <row r="527">
      <c r="G527" s="64"/>
    </row>
    <row r="528">
      <c r="G528" s="64"/>
    </row>
    <row r="529">
      <c r="G529" s="64"/>
    </row>
    <row r="530">
      <c r="G530" s="64"/>
    </row>
    <row r="531">
      <c r="G531" s="64"/>
    </row>
    <row r="532">
      <c r="G532" s="64"/>
    </row>
    <row r="533">
      <c r="G533" s="64"/>
    </row>
    <row r="534">
      <c r="G534" s="64"/>
    </row>
    <row r="535">
      <c r="G535" s="64"/>
    </row>
    <row r="536">
      <c r="G536" s="64"/>
    </row>
    <row r="537">
      <c r="G537" s="64"/>
    </row>
    <row r="538">
      <c r="G538" s="64"/>
    </row>
    <row r="539">
      <c r="G539" s="64"/>
    </row>
    <row r="540">
      <c r="G540" s="64"/>
    </row>
    <row r="541">
      <c r="G541" s="64"/>
    </row>
    <row r="542">
      <c r="G542" s="64"/>
    </row>
    <row r="543">
      <c r="G543" s="64"/>
    </row>
    <row r="544">
      <c r="G544" s="64"/>
    </row>
    <row r="545">
      <c r="G545" s="64"/>
    </row>
    <row r="546">
      <c r="G546" s="64"/>
    </row>
    <row r="547">
      <c r="G547" s="64"/>
    </row>
    <row r="548">
      <c r="G548" s="64"/>
    </row>
    <row r="549">
      <c r="G549" s="64"/>
    </row>
    <row r="550">
      <c r="G550" s="64"/>
    </row>
    <row r="551">
      <c r="G551" s="64"/>
    </row>
    <row r="552">
      <c r="G552" s="64"/>
    </row>
    <row r="553">
      <c r="G553" s="64"/>
    </row>
    <row r="554">
      <c r="G554" s="64"/>
    </row>
    <row r="555">
      <c r="G555" s="64"/>
    </row>
    <row r="556">
      <c r="G556" s="64"/>
    </row>
    <row r="557">
      <c r="G557" s="64"/>
    </row>
    <row r="558">
      <c r="G558" s="64"/>
    </row>
    <row r="559">
      <c r="G559" s="64"/>
    </row>
    <row r="560">
      <c r="G560" s="64"/>
    </row>
    <row r="561">
      <c r="G561" s="64"/>
    </row>
    <row r="562">
      <c r="G562" s="64"/>
    </row>
    <row r="563">
      <c r="G563" s="64"/>
    </row>
    <row r="564">
      <c r="G564" s="64"/>
    </row>
    <row r="565">
      <c r="G565" s="64"/>
    </row>
    <row r="566">
      <c r="G566" s="64"/>
    </row>
    <row r="567">
      <c r="G567" s="64"/>
    </row>
    <row r="568">
      <c r="G568" s="64"/>
    </row>
    <row r="569">
      <c r="G569" s="64"/>
    </row>
    <row r="570">
      <c r="G570" s="64"/>
    </row>
    <row r="571">
      <c r="G571" s="64"/>
    </row>
    <row r="572">
      <c r="G572" s="64"/>
    </row>
    <row r="573">
      <c r="G573" s="64"/>
    </row>
    <row r="574">
      <c r="G574" s="64"/>
    </row>
    <row r="575">
      <c r="G575" s="64"/>
    </row>
    <row r="576">
      <c r="G576" s="64"/>
    </row>
    <row r="577">
      <c r="G577" s="64"/>
    </row>
    <row r="578">
      <c r="G578" s="64"/>
    </row>
    <row r="579">
      <c r="G579" s="64"/>
    </row>
    <row r="580">
      <c r="G580" s="64"/>
    </row>
    <row r="581">
      <c r="G581" s="64"/>
    </row>
    <row r="582">
      <c r="G582" s="64"/>
    </row>
    <row r="583">
      <c r="G583" s="64"/>
    </row>
    <row r="584">
      <c r="G584" s="64"/>
    </row>
    <row r="585">
      <c r="G585" s="64"/>
    </row>
    <row r="586">
      <c r="G586" s="64"/>
    </row>
    <row r="587">
      <c r="G587" s="64"/>
    </row>
    <row r="588">
      <c r="G588" s="64"/>
    </row>
    <row r="589">
      <c r="G589" s="64"/>
    </row>
    <row r="590">
      <c r="G590" s="64"/>
    </row>
    <row r="591">
      <c r="G591" s="64"/>
    </row>
    <row r="592">
      <c r="G592" s="64"/>
    </row>
    <row r="593">
      <c r="G593" s="64"/>
    </row>
    <row r="594">
      <c r="G594" s="64"/>
    </row>
    <row r="595">
      <c r="G595" s="64"/>
    </row>
    <row r="596">
      <c r="G596" s="64"/>
    </row>
    <row r="597">
      <c r="G597" s="64"/>
    </row>
    <row r="598">
      <c r="G598" s="64"/>
    </row>
    <row r="599">
      <c r="G599" s="64"/>
    </row>
    <row r="600">
      <c r="G600" s="64"/>
    </row>
    <row r="601">
      <c r="G601" s="64"/>
    </row>
    <row r="602">
      <c r="G602" s="64"/>
    </row>
    <row r="603">
      <c r="G603" s="64"/>
    </row>
    <row r="604">
      <c r="G604" s="64"/>
    </row>
    <row r="605">
      <c r="G605" s="64"/>
    </row>
    <row r="606">
      <c r="G606" s="64"/>
    </row>
    <row r="607">
      <c r="G607" s="64"/>
    </row>
    <row r="608">
      <c r="G608" s="64"/>
    </row>
    <row r="609">
      <c r="G609" s="64"/>
    </row>
    <row r="610">
      <c r="G610" s="64"/>
    </row>
    <row r="611">
      <c r="G611" s="64"/>
    </row>
    <row r="612">
      <c r="G612" s="64"/>
    </row>
    <row r="613">
      <c r="G613" s="64"/>
    </row>
    <row r="614">
      <c r="G614" s="64"/>
    </row>
    <row r="615">
      <c r="G615" s="64"/>
    </row>
    <row r="616">
      <c r="G616" s="64"/>
    </row>
    <row r="617">
      <c r="G617" s="64"/>
    </row>
    <row r="618">
      <c r="G618" s="64"/>
    </row>
    <row r="619">
      <c r="G619" s="64"/>
    </row>
    <row r="620">
      <c r="G620" s="64"/>
    </row>
    <row r="621">
      <c r="G621" s="64"/>
    </row>
    <row r="622">
      <c r="G622" s="64"/>
    </row>
    <row r="623">
      <c r="G623" s="64"/>
    </row>
    <row r="624">
      <c r="G624" s="64"/>
    </row>
    <row r="625">
      <c r="G625" s="64"/>
    </row>
    <row r="626">
      <c r="G626" s="64"/>
    </row>
    <row r="627">
      <c r="G627" s="64"/>
    </row>
    <row r="628">
      <c r="G628" s="64"/>
    </row>
    <row r="629">
      <c r="G629" s="64"/>
    </row>
    <row r="630">
      <c r="G630" s="64"/>
    </row>
    <row r="631">
      <c r="G631" s="64"/>
    </row>
    <row r="632">
      <c r="G632" s="64"/>
    </row>
    <row r="633">
      <c r="G633" s="64"/>
    </row>
    <row r="634">
      <c r="G634" s="64"/>
    </row>
    <row r="635">
      <c r="G635" s="64"/>
    </row>
    <row r="636">
      <c r="G636" s="64"/>
    </row>
    <row r="637">
      <c r="G637" s="64"/>
    </row>
    <row r="638">
      <c r="G638" s="64"/>
    </row>
    <row r="639">
      <c r="G639" s="64"/>
    </row>
    <row r="640">
      <c r="G640" s="64"/>
    </row>
    <row r="641">
      <c r="G641" s="64"/>
    </row>
    <row r="642">
      <c r="G642" s="64"/>
    </row>
    <row r="643">
      <c r="G643" s="64"/>
    </row>
    <row r="644">
      <c r="G644" s="64"/>
    </row>
    <row r="645">
      <c r="G645" s="64"/>
    </row>
    <row r="646">
      <c r="G646" s="64"/>
    </row>
    <row r="647">
      <c r="G647" s="64"/>
    </row>
    <row r="648">
      <c r="G648" s="64"/>
    </row>
    <row r="649">
      <c r="G649" s="64"/>
    </row>
    <row r="650">
      <c r="G650" s="64"/>
    </row>
    <row r="651">
      <c r="G651" s="64"/>
    </row>
    <row r="652">
      <c r="G652" s="64"/>
    </row>
    <row r="653">
      <c r="G653" s="64"/>
    </row>
    <row r="654">
      <c r="G654" s="64"/>
    </row>
    <row r="655">
      <c r="G655" s="64"/>
    </row>
    <row r="656">
      <c r="G656" s="64"/>
    </row>
    <row r="657">
      <c r="G657" s="64"/>
    </row>
    <row r="658">
      <c r="G658" s="64"/>
    </row>
    <row r="659">
      <c r="G659" s="64"/>
    </row>
    <row r="660">
      <c r="G660" s="64"/>
    </row>
    <row r="661">
      <c r="G661" s="64"/>
    </row>
    <row r="662">
      <c r="G662" s="64"/>
    </row>
    <row r="663">
      <c r="G663" s="64"/>
    </row>
    <row r="664">
      <c r="G664" s="64"/>
    </row>
    <row r="665">
      <c r="G665" s="64"/>
    </row>
    <row r="666">
      <c r="G666" s="64"/>
    </row>
    <row r="667">
      <c r="G667" s="64"/>
    </row>
    <row r="668">
      <c r="G668" s="64"/>
    </row>
    <row r="669">
      <c r="G669" s="64"/>
    </row>
    <row r="670">
      <c r="G670" s="64"/>
    </row>
    <row r="671">
      <c r="G671" s="64"/>
    </row>
    <row r="672">
      <c r="G672" s="64"/>
    </row>
    <row r="673">
      <c r="G673" s="64"/>
    </row>
    <row r="674">
      <c r="G674" s="64"/>
    </row>
    <row r="675">
      <c r="G675" s="64"/>
    </row>
    <row r="676">
      <c r="G676" s="64"/>
    </row>
    <row r="677">
      <c r="G677" s="64"/>
    </row>
    <row r="678">
      <c r="G678" s="64"/>
    </row>
    <row r="679">
      <c r="G679" s="64"/>
    </row>
    <row r="680">
      <c r="G680" s="64"/>
    </row>
    <row r="681">
      <c r="G681" s="64"/>
    </row>
    <row r="682">
      <c r="G682" s="64"/>
    </row>
    <row r="683">
      <c r="G683" s="64"/>
    </row>
    <row r="684">
      <c r="G684" s="64"/>
    </row>
    <row r="685">
      <c r="G685" s="64"/>
    </row>
    <row r="686">
      <c r="G686" s="64"/>
    </row>
    <row r="687">
      <c r="G687" s="64"/>
    </row>
    <row r="688">
      <c r="G688" s="64"/>
    </row>
    <row r="689">
      <c r="G689" s="64"/>
    </row>
    <row r="690">
      <c r="G690" s="64"/>
    </row>
    <row r="691">
      <c r="G691" s="64"/>
    </row>
    <row r="692">
      <c r="G692" s="64"/>
    </row>
    <row r="693">
      <c r="G693" s="64"/>
    </row>
    <row r="694">
      <c r="G694" s="64"/>
    </row>
    <row r="695">
      <c r="G695" s="64"/>
    </row>
    <row r="696">
      <c r="G696" s="64"/>
    </row>
    <row r="697">
      <c r="G697" s="64"/>
    </row>
    <row r="698">
      <c r="G698" s="64"/>
    </row>
    <row r="699">
      <c r="G699" s="64"/>
    </row>
    <row r="700">
      <c r="G700" s="64"/>
    </row>
    <row r="701">
      <c r="G701" s="64"/>
    </row>
    <row r="702">
      <c r="G702" s="64"/>
    </row>
    <row r="703">
      <c r="G703" s="64"/>
    </row>
    <row r="704">
      <c r="G704" s="64"/>
    </row>
    <row r="705">
      <c r="G705" s="64"/>
    </row>
    <row r="706">
      <c r="G706" s="64"/>
    </row>
    <row r="707">
      <c r="G707" s="64"/>
    </row>
    <row r="708">
      <c r="G708" s="64"/>
    </row>
    <row r="709">
      <c r="G709" s="64"/>
    </row>
    <row r="710">
      <c r="G710" s="64"/>
    </row>
    <row r="711">
      <c r="G711" s="64"/>
    </row>
    <row r="712">
      <c r="G712" s="64"/>
    </row>
    <row r="713">
      <c r="G713" s="64"/>
    </row>
    <row r="714">
      <c r="G714" s="64"/>
    </row>
    <row r="715">
      <c r="G715" s="64"/>
    </row>
    <row r="716">
      <c r="G716" s="64"/>
    </row>
    <row r="717">
      <c r="G717" s="64"/>
    </row>
    <row r="718">
      <c r="G718" s="64"/>
    </row>
    <row r="719">
      <c r="G719" s="64"/>
    </row>
    <row r="720">
      <c r="G720" s="64"/>
    </row>
    <row r="721">
      <c r="G721" s="64"/>
    </row>
    <row r="722">
      <c r="G722" s="64"/>
    </row>
    <row r="723">
      <c r="G723" s="64"/>
    </row>
    <row r="724">
      <c r="G724" s="64"/>
    </row>
    <row r="725">
      <c r="G725" s="64"/>
    </row>
    <row r="726">
      <c r="G726" s="64"/>
    </row>
    <row r="727">
      <c r="G727" s="64"/>
    </row>
    <row r="728">
      <c r="G728" s="64"/>
    </row>
    <row r="729">
      <c r="G729" s="64"/>
    </row>
    <row r="730">
      <c r="G730" s="64"/>
    </row>
    <row r="731">
      <c r="G731" s="64"/>
    </row>
    <row r="732">
      <c r="G732" s="64"/>
    </row>
    <row r="733">
      <c r="G733" s="64"/>
    </row>
    <row r="734">
      <c r="G734" s="64"/>
    </row>
    <row r="735">
      <c r="G735" s="64"/>
    </row>
    <row r="736">
      <c r="G736" s="64"/>
    </row>
    <row r="737">
      <c r="G737" s="64"/>
    </row>
    <row r="738">
      <c r="G738" s="64"/>
    </row>
    <row r="739">
      <c r="G739" s="64"/>
    </row>
    <row r="740">
      <c r="G740" s="64"/>
    </row>
    <row r="741">
      <c r="G741" s="64"/>
    </row>
    <row r="742">
      <c r="G742" s="64"/>
    </row>
    <row r="743">
      <c r="G743" s="64"/>
    </row>
    <row r="744">
      <c r="G744" s="64"/>
    </row>
    <row r="745">
      <c r="G745" s="64"/>
    </row>
    <row r="746">
      <c r="G746" s="64"/>
    </row>
    <row r="747">
      <c r="G747" s="64"/>
    </row>
    <row r="748">
      <c r="G748" s="64"/>
    </row>
    <row r="749">
      <c r="G749" s="64"/>
    </row>
    <row r="750">
      <c r="G750" s="64"/>
    </row>
    <row r="751">
      <c r="G751" s="64"/>
    </row>
    <row r="752">
      <c r="G752" s="64"/>
    </row>
    <row r="753">
      <c r="G753" s="64"/>
    </row>
    <row r="754">
      <c r="G754" s="64"/>
    </row>
    <row r="755">
      <c r="G755" s="64"/>
    </row>
    <row r="756">
      <c r="G756" s="64"/>
    </row>
    <row r="757">
      <c r="G757" s="64"/>
    </row>
    <row r="758">
      <c r="G758" s="64"/>
    </row>
    <row r="759">
      <c r="G759" s="64"/>
    </row>
    <row r="760">
      <c r="G760" s="64"/>
    </row>
    <row r="761">
      <c r="G761" s="64"/>
    </row>
    <row r="762">
      <c r="G762" s="64"/>
    </row>
    <row r="763">
      <c r="G763" s="64"/>
    </row>
    <row r="764">
      <c r="G764" s="64"/>
    </row>
    <row r="765">
      <c r="G765" s="64"/>
    </row>
    <row r="766">
      <c r="G766" s="64"/>
    </row>
    <row r="767">
      <c r="G767" s="64"/>
    </row>
    <row r="768">
      <c r="G768" s="64"/>
    </row>
    <row r="769">
      <c r="G769" s="64"/>
    </row>
    <row r="770">
      <c r="G770" s="64"/>
    </row>
    <row r="771">
      <c r="G771" s="64"/>
    </row>
    <row r="772">
      <c r="G772" s="64"/>
    </row>
    <row r="773">
      <c r="G773" s="64"/>
    </row>
    <row r="774">
      <c r="G774" s="64"/>
    </row>
    <row r="775">
      <c r="G775" s="64"/>
    </row>
    <row r="776">
      <c r="G776" s="64"/>
    </row>
    <row r="777">
      <c r="G777" s="64"/>
    </row>
    <row r="778">
      <c r="G778" s="64"/>
    </row>
    <row r="779">
      <c r="G779" s="64"/>
    </row>
    <row r="780">
      <c r="G780" s="64"/>
    </row>
    <row r="781">
      <c r="G781" s="64"/>
    </row>
    <row r="782">
      <c r="G782" s="64"/>
    </row>
    <row r="783">
      <c r="G783" s="64"/>
    </row>
    <row r="784">
      <c r="G784" s="64"/>
    </row>
    <row r="785">
      <c r="G785" s="64"/>
    </row>
    <row r="786">
      <c r="G786" s="64"/>
    </row>
    <row r="787">
      <c r="G787" s="64"/>
    </row>
    <row r="788">
      <c r="G788" s="64"/>
    </row>
    <row r="789">
      <c r="G789" s="64"/>
    </row>
    <row r="790">
      <c r="G790" s="64"/>
    </row>
    <row r="791">
      <c r="G791" s="64"/>
    </row>
    <row r="792">
      <c r="G792" s="64"/>
    </row>
    <row r="793">
      <c r="G793" s="64"/>
    </row>
    <row r="794">
      <c r="G794" s="64"/>
    </row>
    <row r="795">
      <c r="G795" s="64"/>
    </row>
    <row r="796">
      <c r="G796" s="64"/>
    </row>
    <row r="797">
      <c r="G797" s="64"/>
    </row>
    <row r="798">
      <c r="G798" s="64"/>
    </row>
    <row r="799">
      <c r="G799" s="64"/>
    </row>
    <row r="800">
      <c r="G800" s="64"/>
    </row>
    <row r="801">
      <c r="G801" s="64"/>
    </row>
    <row r="802">
      <c r="G802" s="64"/>
    </row>
    <row r="803">
      <c r="G803" s="64"/>
    </row>
    <row r="804">
      <c r="G804" s="64"/>
    </row>
    <row r="805">
      <c r="G805" s="64"/>
    </row>
    <row r="806">
      <c r="G806" s="64"/>
    </row>
    <row r="807">
      <c r="G807" s="64"/>
    </row>
    <row r="808">
      <c r="G808" s="64"/>
    </row>
    <row r="809">
      <c r="G809" s="64"/>
    </row>
    <row r="810">
      <c r="G810" s="64"/>
    </row>
    <row r="811">
      <c r="G811" s="64"/>
    </row>
    <row r="812">
      <c r="G812" s="64"/>
    </row>
    <row r="813">
      <c r="G813" s="64"/>
    </row>
    <row r="814">
      <c r="G814" s="64"/>
    </row>
    <row r="815">
      <c r="G815" s="64"/>
    </row>
    <row r="816">
      <c r="G816" s="64"/>
    </row>
    <row r="817">
      <c r="G817" s="64"/>
    </row>
    <row r="818">
      <c r="G818" s="64"/>
    </row>
    <row r="819">
      <c r="G819" s="64"/>
    </row>
    <row r="820">
      <c r="G820" s="64"/>
    </row>
    <row r="821">
      <c r="G821" s="64"/>
    </row>
    <row r="822">
      <c r="G822" s="64"/>
    </row>
    <row r="823">
      <c r="G823" s="64"/>
    </row>
    <row r="824">
      <c r="G824" s="64"/>
    </row>
    <row r="825">
      <c r="G825" s="64"/>
    </row>
    <row r="826">
      <c r="G826" s="64"/>
    </row>
    <row r="827">
      <c r="G827" s="64"/>
    </row>
    <row r="828">
      <c r="G828" s="64"/>
    </row>
    <row r="829">
      <c r="G829" s="64"/>
    </row>
    <row r="830">
      <c r="G830" s="64"/>
    </row>
    <row r="831">
      <c r="G831" s="64"/>
    </row>
    <row r="832">
      <c r="G832" s="64"/>
    </row>
    <row r="833">
      <c r="G833" s="64"/>
    </row>
    <row r="834">
      <c r="G834" s="64"/>
    </row>
    <row r="835">
      <c r="G835" s="64"/>
    </row>
    <row r="836">
      <c r="G836" s="64"/>
    </row>
    <row r="837">
      <c r="G837" s="64"/>
    </row>
    <row r="838">
      <c r="G838" s="64"/>
    </row>
    <row r="839">
      <c r="G839" s="64"/>
    </row>
    <row r="840">
      <c r="G840" s="64"/>
    </row>
    <row r="841">
      <c r="G841" s="64"/>
    </row>
    <row r="842">
      <c r="G842" s="64"/>
    </row>
    <row r="843">
      <c r="G843" s="64"/>
    </row>
    <row r="844">
      <c r="G844" s="64"/>
    </row>
    <row r="845">
      <c r="G845" s="64"/>
    </row>
    <row r="846">
      <c r="G846" s="64"/>
    </row>
    <row r="847">
      <c r="G847" s="64"/>
    </row>
    <row r="848">
      <c r="G848" s="64"/>
    </row>
    <row r="849">
      <c r="G849" s="64"/>
    </row>
    <row r="850">
      <c r="G850" s="64"/>
    </row>
    <row r="851">
      <c r="G851" s="64"/>
    </row>
    <row r="852">
      <c r="G852" s="64"/>
    </row>
    <row r="853">
      <c r="G853" s="64"/>
    </row>
    <row r="854">
      <c r="G854" s="64"/>
    </row>
    <row r="855">
      <c r="G855" s="64"/>
    </row>
    <row r="856">
      <c r="G856" s="64"/>
    </row>
    <row r="857">
      <c r="G857" s="64"/>
    </row>
    <row r="858">
      <c r="G858" s="64"/>
    </row>
    <row r="859">
      <c r="G859" s="64"/>
    </row>
    <row r="860">
      <c r="G860" s="64"/>
    </row>
    <row r="861">
      <c r="G861" s="64"/>
    </row>
    <row r="862">
      <c r="G862" s="64"/>
    </row>
    <row r="863">
      <c r="G863" s="64"/>
    </row>
    <row r="864">
      <c r="G864" s="64"/>
    </row>
    <row r="865">
      <c r="G865" s="64"/>
    </row>
    <row r="866">
      <c r="G866" s="64"/>
    </row>
    <row r="867">
      <c r="G867" s="64"/>
    </row>
    <row r="868">
      <c r="G868" s="64"/>
    </row>
    <row r="869">
      <c r="G869" s="64"/>
    </row>
    <row r="870">
      <c r="G870" s="64"/>
    </row>
    <row r="871">
      <c r="G871" s="64"/>
    </row>
    <row r="872">
      <c r="G872" s="64"/>
    </row>
    <row r="873">
      <c r="G873" s="64"/>
    </row>
    <row r="874">
      <c r="G874" s="64"/>
    </row>
    <row r="875">
      <c r="G875" s="64"/>
    </row>
    <row r="876">
      <c r="G876" s="64"/>
    </row>
    <row r="877">
      <c r="G877" s="64"/>
    </row>
    <row r="878">
      <c r="G878" s="64"/>
    </row>
    <row r="879">
      <c r="G879" s="64"/>
    </row>
    <row r="880">
      <c r="G880" s="64"/>
    </row>
    <row r="881">
      <c r="G881" s="64"/>
    </row>
    <row r="882">
      <c r="G882" s="64"/>
    </row>
    <row r="883">
      <c r="G883" s="64"/>
    </row>
    <row r="884">
      <c r="G884" s="64"/>
    </row>
    <row r="885">
      <c r="G885" s="64"/>
    </row>
    <row r="886">
      <c r="G886" s="64"/>
    </row>
    <row r="887">
      <c r="G887" s="64"/>
    </row>
    <row r="888">
      <c r="G888" s="64"/>
    </row>
    <row r="889">
      <c r="G889" s="64"/>
    </row>
    <row r="890">
      <c r="G890" s="64"/>
    </row>
    <row r="891">
      <c r="G891" s="64"/>
    </row>
    <row r="892">
      <c r="G892" s="64"/>
    </row>
    <row r="893">
      <c r="G893" s="64"/>
    </row>
    <row r="894">
      <c r="G894" s="64"/>
    </row>
    <row r="895">
      <c r="G895" s="64"/>
    </row>
    <row r="896">
      <c r="G896" s="64"/>
    </row>
    <row r="897">
      <c r="G897" s="64"/>
    </row>
    <row r="898">
      <c r="G898" s="64"/>
    </row>
    <row r="899">
      <c r="G899" s="64"/>
    </row>
    <row r="900">
      <c r="G900" s="64"/>
    </row>
    <row r="901">
      <c r="G901" s="64"/>
    </row>
    <row r="902">
      <c r="G902" s="64"/>
    </row>
    <row r="903">
      <c r="G903" s="64"/>
    </row>
    <row r="904">
      <c r="G904" s="64"/>
    </row>
    <row r="905">
      <c r="G905" s="64"/>
    </row>
    <row r="906">
      <c r="G906" s="64"/>
    </row>
    <row r="907">
      <c r="G907" s="64"/>
    </row>
    <row r="908">
      <c r="G908" s="64"/>
    </row>
    <row r="909">
      <c r="G909" s="64"/>
    </row>
    <row r="910">
      <c r="G910" s="64"/>
    </row>
    <row r="911">
      <c r="G911" s="64"/>
    </row>
    <row r="912">
      <c r="G912" s="64"/>
    </row>
    <row r="913">
      <c r="G913" s="64"/>
    </row>
    <row r="914">
      <c r="G914" s="64"/>
    </row>
    <row r="915">
      <c r="G915" s="64"/>
    </row>
    <row r="916">
      <c r="G916" s="64"/>
    </row>
    <row r="917">
      <c r="G917" s="64"/>
    </row>
    <row r="918">
      <c r="G918" s="64"/>
    </row>
    <row r="919">
      <c r="G919" s="64"/>
    </row>
    <row r="920">
      <c r="G920" s="64"/>
    </row>
    <row r="921">
      <c r="G921" s="64"/>
    </row>
    <row r="922">
      <c r="G922" s="64"/>
    </row>
    <row r="923">
      <c r="G923" s="64"/>
    </row>
    <row r="924">
      <c r="G924" s="64"/>
    </row>
    <row r="925">
      <c r="G925" s="64"/>
    </row>
    <row r="926">
      <c r="G926" s="64"/>
    </row>
    <row r="927">
      <c r="G927" s="64"/>
    </row>
    <row r="928">
      <c r="G928" s="64"/>
    </row>
    <row r="929">
      <c r="G929" s="64"/>
    </row>
    <row r="930">
      <c r="G930" s="64"/>
    </row>
    <row r="931">
      <c r="G931" s="64"/>
    </row>
    <row r="932">
      <c r="G932" s="64"/>
    </row>
    <row r="933">
      <c r="G933" s="64"/>
    </row>
    <row r="934">
      <c r="G934" s="64"/>
    </row>
    <row r="935">
      <c r="G935" s="64"/>
    </row>
    <row r="936">
      <c r="G936" s="64"/>
    </row>
    <row r="937">
      <c r="G937" s="64"/>
    </row>
    <row r="938">
      <c r="G938" s="64"/>
    </row>
    <row r="939">
      <c r="G939" s="64"/>
    </row>
    <row r="940">
      <c r="G940" s="64"/>
    </row>
    <row r="941">
      <c r="G941" s="64"/>
    </row>
    <row r="942">
      <c r="G942" s="64"/>
    </row>
    <row r="943">
      <c r="G943" s="64"/>
    </row>
    <row r="944">
      <c r="G944" s="64"/>
    </row>
    <row r="945">
      <c r="G945" s="64"/>
    </row>
    <row r="946">
      <c r="G946" s="64"/>
    </row>
    <row r="947">
      <c r="G947" s="64"/>
    </row>
    <row r="948">
      <c r="G948" s="64"/>
    </row>
    <row r="949">
      <c r="G949" s="64"/>
    </row>
    <row r="950">
      <c r="G950" s="64"/>
    </row>
    <row r="951">
      <c r="G951" s="64"/>
    </row>
    <row r="952">
      <c r="G952" s="64"/>
    </row>
    <row r="953">
      <c r="G953" s="64"/>
    </row>
    <row r="954">
      <c r="G954" s="64"/>
    </row>
    <row r="955">
      <c r="G955" s="64"/>
    </row>
    <row r="956">
      <c r="G956" s="64"/>
    </row>
    <row r="957">
      <c r="G957" s="64"/>
    </row>
    <row r="958">
      <c r="G958" s="64"/>
    </row>
    <row r="959">
      <c r="G959" s="64"/>
    </row>
    <row r="960">
      <c r="G960" s="64"/>
    </row>
    <row r="961">
      <c r="G961" s="64"/>
    </row>
    <row r="962">
      <c r="G962" s="64"/>
    </row>
    <row r="963">
      <c r="G963" s="64"/>
    </row>
    <row r="964">
      <c r="G964" s="64"/>
    </row>
    <row r="965">
      <c r="G965" s="64"/>
    </row>
    <row r="966">
      <c r="G966" s="64"/>
    </row>
    <row r="967">
      <c r="G967" s="64"/>
    </row>
    <row r="968">
      <c r="G968" s="64"/>
    </row>
    <row r="969">
      <c r="G969" s="64"/>
    </row>
    <row r="970">
      <c r="G970" s="64"/>
    </row>
    <row r="971">
      <c r="G971" s="64"/>
    </row>
    <row r="972">
      <c r="G972" s="64"/>
    </row>
    <row r="973">
      <c r="G973" s="64"/>
    </row>
    <row r="974">
      <c r="G974" s="64"/>
    </row>
    <row r="975">
      <c r="G975" s="64"/>
    </row>
    <row r="976">
      <c r="G976" s="64"/>
    </row>
    <row r="977">
      <c r="G977" s="64"/>
    </row>
    <row r="978">
      <c r="G978" s="64"/>
    </row>
    <row r="979">
      <c r="G979" s="64"/>
    </row>
    <row r="980">
      <c r="G980" s="64"/>
    </row>
    <row r="981">
      <c r="G981" s="64"/>
    </row>
    <row r="982">
      <c r="G982" s="64"/>
    </row>
    <row r="983">
      <c r="G983" s="64"/>
    </row>
    <row r="984">
      <c r="G984" s="64"/>
    </row>
    <row r="985">
      <c r="G985" s="64"/>
    </row>
    <row r="986">
      <c r="G986" s="64"/>
    </row>
    <row r="987">
      <c r="G987" s="64"/>
    </row>
    <row r="988">
      <c r="G988" s="64"/>
    </row>
    <row r="989">
      <c r="G989" s="64"/>
    </row>
    <row r="990">
      <c r="G990" s="64"/>
    </row>
    <row r="991">
      <c r="G991" s="64"/>
    </row>
    <row r="992">
      <c r="G992" s="64"/>
    </row>
    <row r="993">
      <c r="G993" s="64"/>
    </row>
    <row r="994">
      <c r="G994" s="64"/>
    </row>
    <row r="995">
      <c r="G995" s="64"/>
    </row>
    <row r="996">
      <c r="G996" s="64"/>
    </row>
    <row r="997">
      <c r="G997" s="64"/>
    </row>
    <row r="998">
      <c r="G998" s="64"/>
    </row>
    <row r="999">
      <c r="G999" s="64"/>
    </row>
    <row r="1000">
      <c r="G1000" s="64"/>
    </row>
  </sheetData>
  <hyperlinks>
    <hyperlink r:id="rId1" ref="D2"/>
    <hyperlink r:id="rId2" location="slide=id.g30c21246255_0_269" ref="E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20.25"/>
    <col customWidth="1" min="3" max="3" width="13.75"/>
    <col customWidth="1" min="5" max="5" width="21.0"/>
    <col customWidth="1" min="6" max="6" width="19.75"/>
    <col customWidth="1" min="9" max="9" width="17.88"/>
    <col customWidth="1" min="10" max="10" width="26.0"/>
  </cols>
  <sheetData>
    <row r="1">
      <c r="A1" s="6" t="s">
        <v>433</v>
      </c>
      <c r="B1" s="26" t="s">
        <v>40</v>
      </c>
      <c r="C1" s="26" t="s">
        <v>441</v>
      </c>
      <c r="D1" s="26" t="s">
        <v>434</v>
      </c>
      <c r="E1" s="26" t="s">
        <v>442</v>
      </c>
      <c r="F1" s="26" t="s">
        <v>443</v>
      </c>
      <c r="G1" s="6" t="s">
        <v>44</v>
      </c>
      <c r="H1" s="6" t="s">
        <v>45</v>
      </c>
      <c r="I1" s="6" t="s">
        <v>49</v>
      </c>
      <c r="J1" s="6" t="s">
        <v>51</v>
      </c>
      <c r="K1" s="6" t="s">
        <v>48</v>
      </c>
      <c r="L1" s="6" t="s">
        <v>50</v>
      </c>
      <c r="M1" s="6" t="s">
        <v>52</v>
      </c>
      <c r="N1" s="6" t="s">
        <v>444</v>
      </c>
      <c r="O1" s="6" t="s">
        <v>54</v>
      </c>
    </row>
    <row r="2">
      <c r="A2" s="13" t="s">
        <v>12</v>
      </c>
      <c r="B2" s="13" t="s">
        <v>445</v>
      </c>
      <c r="C2" s="13" t="s">
        <v>446</v>
      </c>
      <c r="D2" s="13" t="s">
        <v>447</v>
      </c>
      <c r="E2" s="13" t="s">
        <v>204</v>
      </c>
      <c r="F2" s="13" t="s">
        <v>448</v>
      </c>
      <c r="G2" s="46" t="s">
        <v>449</v>
      </c>
      <c r="H2" s="13" t="s">
        <v>204</v>
      </c>
      <c r="I2" s="24">
        <v>0.0</v>
      </c>
      <c r="J2" s="20" t="s">
        <v>450</v>
      </c>
      <c r="M2" s="87" t="s">
        <v>451</v>
      </c>
      <c r="N2" s="39">
        <v>45664.0</v>
      </c>
    </row>
    <row r="3">
      <c r="A3" s="13" t="s">
        <v>12</v>
      </c>
      <c r="B3" s="13" t="s">
        <v>452</v>
      </c>
      <c r="C3" s="13" t="s">
        <v>446</v>
      </c>
      <c r="D3" s="13" t="s">
        <v>76</v>
      </c>
      <c r="E3" s="13" t="s">
        <v>453</v>
      </c>
      <c r="F3" s="13" t="s">
        <v>454</v>
      </c>
      <c r="G3" s="46" t="s">
        <v>455</v>
      </c>
      <c r="H3" s="13" t="s">
        <v>204</v>
      </c>
      <c r="I3" s="24">
        <v>0.0</v>
      </c>
      <c r="J3" s="87" t="s">
        <v>456</v>
      </c>
      <c r="M3" s="20" t="s">
        <v>457</v>
      </c>
      <c r="N3" s="39">
        <v>45583.0</v>
      </c>
    </row>
    <row r="4">
      <c r="A4" s="13" t="s">
        <v>12</v>
      </c>
      <c r="B4" s="13" t="s">
        <v>458</v>
      </c>
      <c r="C4" s="13" t="s">
        <v>459</v>
      </c>
      <c r="D4" s="13" t="s">
        <v>447</v>
      </c>
      <c r="E4" s="13" t="s">
        <v>204</v>
      </c>
      <c r="F4" s="13" t="s">
        <v>448</v>
      </c>
      <c r="G4" s="46" t="s">
        <v>460</v>
      </c>
      <c r="H4" s="13" t="s">
        <v>204</v>
      </c>
      <c r="I4" s="24">
        <v>0.0</v>
      </c>
      <c r="J4" s="20" t="s">
        <v>461</v>
      </c>
      <c r="M4" s="13"/>
      <c r="N4" s="39">
        <v>45664.0</v>
      </c>
    </row>
    <row r="5">
      <c r="A5" s="13" t="s">
        <v>12</v>
      </c>
      <c r="B5" s="13" t="s">
        <v>462</v>
      </c>
      <c r="C5" s="13" t="s">
        <v>459</v>
      </c>
      <c r="D5" s="13" t="s">
        <v>447</v>
      </c>
      <c r="E5" s="13" t="s">
        <v>204</v>
      </c>
      <c r="F5" s="13" t="s">
        <v>448</v>
      </c>
      <c r="G5" s="46" t="s">
        <v>463</v>
      </c>
      <c r="H5" s="13" t="s">
        <v>204</v>
      </c>
      <c r="I5" s="24">
        <v>0.0</v>
      </c>
      <c r="J5" s="13" t="s">
        <v>464</v>
      </c>
      <c r="M5" s="13"/>
      <c r="N5" s="39">
        <v>45579.0</v>
      </c>
    </row>
    <row r="6">
      <c r="A6" s="13" t="s">
        <v>12</v>
      </c>
      <c r="B6" s="13" t="s">
        <v>465</v>
      </c>
      <c r="C6" s="13" t="s">
        <v>459</v>
      </c>
      <c r="D6" s="13" t="s">
        <v>76</v>
      </c>
      <c r="E6" s="13" t="s">
        <v>466</v>
      </c>
      <c r="F6" s="13" t="s">
        <v>448</v>
      </c>
      <c r="G6" s="46" t="s">
        <v>467</v>
      </c>
      <c r="H6" s="13" t="s">
        <v>204</v>
      </c>
      <c r="I6" s="24">
        <v>0.0</v>
      </c>
      <c r="J6" s="20" t="s">
        <v>468</v>
      </c>
      <c r="M6" s="13"/>
      <c r="N6" s="39">
        <v>45608.0</v>
      </c>
    </row>
    <row r="7">
      <c r="A7" s="13" t="s">
        <v>12</v>
      </c>
      <c r="B7" s="13" t="s">
        <v>469</v>
      </c>
      <c r="C7" s="13" t="s">
        <v>459</v>
      </c>
      <c r="D7" s="13" t="s">
        <v>447</v>
      </c>
      <c r="E7" s="13" t="s">
        <v>204</v>
      </c>
      <c r="F7" s="13" t="s">
        <v>470</v>
      </c>
      <c r="G7" s="46" t="s">
        <v>463</v>
      </c>
      <c r="H7" s="13" t="s">
        <v>204</v>
      </c>
      <c r="I7" s="13">
        <v>0.0</v>
      </c>
      <c r="J7" s="13" t="s">
        <v>471</v>
      </c>
      <c r="M7" s="13"/>
      <c r="N7" s="39">
        <v>45664.0</v>
      </c>
    </row>
    <row r="8">
      <c r="A8" s="13" t="s">
        <v>472</v>
      </c>
      <c r="B8" s="13" t="s">
        <v>473</v>
      </c>
      <c r="C8" s="13" t="s">
        <v>446</v>
      </c>
      <c r="D8" s="13" t="s">
        <v>76</v>
      </c>
      <c r="I8" s="13" t="s">
        <v>474</v>
      </c>
      <c r="N8" s="63"/>
    </row>
    <row r="9">
      <c r="I9" s="64"/>
      <c r="N9" s="63"/>
    </row>
    <row r="10">
      <c r="I10" s="64"/>
      <c r="N10" s="63"/>
    </row>
    <row r="11">
      <c r="I11" s="64"/>
      <c r="N11" s="63"/>
    </row>
    <row r="12">
      <c r="I12" s="64"/>
      <c r="N12" s="63"/>
    </row>
    <row r="13">
      <c r="I13" s="64"/>
      <c r="N13" s="63"/>
    </row>
    <row r="14">
      <c r="I14" s="64"/>
      <c r="N14" s="63"/>
    </row>
    <row r="15">
      <c r="I15" s="64"/>
      <c r="N15" s="63"/>
    </row>
    <row r="16">
      <c r="I16" s="64"/>
      <c r="N16" s="63"/>
    </row>
    <row r="17">
      <c r="I17" s="64"/>
      <c r="N17" s="63"/>
    </row>
    <row r="18">
      <c r="I18" s="64"/>
      <c r="N18" s="63"/>
    </row>
    <row r="19">
      <c r="I19" s="64"/>
      <c r="N19" s="63"/>
    </row>
    <row r="20">
      <c r="I20" s="64"/>
      <c r="N20" s="63"/>
    </row>
    <row r="21">
      <c r="I21" s="64"/>
      <c r="N21" s="63"/>
    </row>
    <row r="22">
      <c r="I22" s="64"/>
      <c r="N22" s="63"/>
    </row>
    <row r="23">
      <c r="I23" s="64"/>
      <c r="N23" s="63"/>
    </row>
    <row r="24">
      <c r="I24" s="64"/>
      <c r="N24" s="63"/>
    </row>
    <row r="25">
      <c r="I25" s="64"/>
      <c r="N25" s="63"/>
    </row>
    <row r="26">
      <c r="I26" s="64"/>
      <c r="N26" s="63"/>
    </row>
    <row r="27">
      <c r="I27" s="64"/>
      <c r="N27" s="63"/>
    </row>
    <row r="28">
      <c r="I28" s="64"/>
      <c r="N28" s="63"/>
    </row>
    <row r="29">
      <c r="I29" s="64"/>
      <c r="N29" s="63"/>
    </row>
    <row r="30">
      <c r="I30" s="64"/>
      <c r="N30" s="63"/>
    </row>
    <row r="31">
      <c r="I31" s="64"/>
      <c r="N31" s="63"/>
    </row>
    <row r="32">
      <c r="I32" s="64"/>
      <c r="N32" s="63"/>
    </row>
    <row r="33">
      <c r="I33" s="64"/>
      <c r="N33" s="63"/>
    </row>
    <row r="34">
      <c r="I34" s="64"/>
      <c r="N34" s="63"/>
    </row>
    <row r="35">
      <c r="I35" s="64"/>
      <c r="N35" s="63"/>
    </row>
    <row r="36">
      <c r="I36" s="64"/>
      <c r="N36" s="63"/>
    </row>
    <row r="37">
      <c r="I37" s="64"/>
      <c r="N37" s="63"/>
    </row>
    <row r="38">
      <c r="I38" s="64"/>
      <c r="N38" s="63"/>
    </row>
    <row r="39">
      <c r="I39" s="64"/>
      <c r="N39" s="63"/>
    </row>
    <row r="40">
      <c r="I40" s="64"/>
      <c r="N40" s="63"/>
    </row>
    <row r="41">
      <c r="I41" s="64"/>
      <c r="N41" s="63"/>
    </row>
    <row r="42">
      <c r="I42" s="64"/>
      <c r="N42" s="63"/>
    </row>
    <row r="43">
      <c r="I43" s="64"/>
      <c r="N43" s="63"/>
    </row>
    <row r="44">
      <c r="I44" s="64"/>
      <c r="N44" s="63"/>
    </row>
    <row r="45">
      <c r="I45" s="64"/>
      <c r="N45" s="63"/>
    </row>
    <row r="46">
      <c r="I46" s="64"/>
      <c r="N46" s="63"/>
    </row>
    <row r="47">
      <c r="I47" s="64"/>
      <c r="N47" s="63"/>
    </row>
    <row r="48">
      <c r="I48" s="64"/>
      <c r="N48" s="63"/>
    </row>
    <row r="49">
      <c r="I49" s="64"/>
      <c r="N49" s="63"/>
    </row>
    <row r="50">
      <c r="I50" s="64"/>
      <c r="N50" s="63"/>
    </row>
    <row r="51">
      <c r="I51" s="64"/>
      <c r="N51" s="63"/>
    </row>
    <row r="52">
      <c r="I52" s="64"/>
      <c r="N52" s="63"/>
    </row>
    <row r="53">
      <c r="I53" s="64"/>
      <c r="N53" s="63"/>
    </row>
    <row r="54">
      <c r="I54" s="64"/>
      <c r="N54" s="63"/>
    </row>
    <row r="55">
      <c r="I55" s="64"/>
      <c r="N55" s="63"/>
    </row>
    <row r="56">
      <c r="I56" s="64"/>
      <c r="N56" s="63"/>
    </row>
    <row r="57">
      <c r="I57" s="64"/>
      <c r="N57" s="63"/>
    </row>
    <row r="58">
      <c r="I58" s="64"/>
      <c r="N58" s="63"/>
    </row>
    <row r="59">
      <c r="I59" s="64"/>
      <c r="N59" s="63"/>
    </row>
    <row r="60">
      <c r="I60" s="64"/>
      <c r="N60" s="63"/>
    </row>
    <row r="61">
      <c r="I61" s="64"/>
      <c r="N61" s="63"/>
    </row>
    <row r="62">
      <c r="I62" s="64"/>
      <c r="N62" s="63"/>
    </row>
    <row r="63">
      <c r="I63" s="64"/>
      <c r="N63" s="63"/>
    </row>
    <row r="64">
      <c r="I64" s="64"/>
      <c r="N64" s="63"/>
    </row>
    <row r="65">
      <c r="I65" s="64"/>
      <c r="N65" s="63"/>
    </row>
    <row r="66">
      <c r="I66" s="64"/>
      <c r="N66" s="63"/>
    </row>
    <row r="67">
      <c r="I67" s="64"/>
      <c r="N67" s="63"/>
    </row>
    <row r="68">
      <c r="I68" s="64"/>
      <c r="N68" s="63"/>
    </row>
    <row r="69">
      <c r="I69" s="64"/>
      <c r="N69" s="63"/>
    </row>
    <row r="70">
      <c r="I70" s="64"/>
      <c r="N70" s="63"/>
    </row>
    <row r="71">
      <c r="I71" s="64"/>
      <c r="N71" s="63"/>
    </row>
    <row r="72">
      <c r="I72" s="64"/>
      <c r="N72" s="63"/>
    </row>
    <row r="73">
      <c r="I73" s="64"/>
      <c r="N73" s="63"/>
    </row>
    <row r="74">
      <c r="I74" s="64"/>
      <c r="N74" s="63"/>
    </row>
    <row r="75">
      <c r="I75" s="64"/>
      <c r="N75" s="63"/>
    </row>
    <row r="76">
      <c r="I76" s="64"/>
      <c r="N76" s="63"/>
    </row>
    <row r="77">
      <c r="I77" s="64"/>
      <c r="N77" s="63"/>
    </row>
    <row r="78">
      <c r="I78" s="64"/>
      <c r="N78" s="63"/>
    </row>
    <row r="79">
      <c r="I79" s="64"/>
      <c r="N79" s="63"/>
    </row>
    <row r="80">
      <c r="I80" s="64"/>
      <c r="N80" s="63"/>
    </row>
    <row r="81">
      <c r="I81" s="64"/>
      <c r="N81" s="63"/>
    </row>
    <row r="82">
      <c r="I82" s="64"/>
      <c r="N82" s="63"/>
    </row>
    <row r="83">
      <c r="I83" s="64"/>
      <c r="N83" s="63"/>
    </row>
    <row r="84">
      <c r="I84" s="64"/>
      <c r="N84" s="63"/>
    </row>
    <row r="85">
      <c r="I85" s="64"/>
      <c r="N85" s="63"/>
    </row>
    <row r="86">
      <c r="I86" s="64"/>
      <c r="N86" s="63"/>
    </row>
    <row r="87">
      <c r="I87" s="64"/>
      <c r="N87" s="63"/>
    </row>
    <row r="88">
      <c r="I88" s="64"/>
      <c r="N88" s="63"/>
    </row>
    <row r="89">
      <c r="I89" s="64"/>
      <c r="N89" s="63"/>
    </row>
    <row r="90">
      <c r="I90" s="64"/>
      <c r="N90" s="63"/>
    </row>
    <row r="91">
      <c r="I91" s="64"/>
      <c r="N91" s="63"/>
    </row>
    <row r="92">
      <c r="I92" s="64"/>
      <c r="N92" s="63"/>
    </row>
    <row r="93">
      <c r="I93" s="64"/>
      <c r="N93" s="63"/>
    </row>
    <row r="94">
      <c r="I94" s="64"/>
      <c r="N94" s="63"/>
    </row>
    <row r="95">
      <c r="I95" s="64"/>
      <c r="N95" s="63"/>
    </row>
    <row r="96">
      <c r="I96" s="64"/>
      <c r="N96" s="63"/>
    </row>
    <row r="97">
      <c r="I97" s="64"/>
      <c r="N97" s="63"/>
    </row>
    <row r="98">
      <c r="I98" s="64"/>
      <c r="N98" s="63"/>
    </row>
    <row r="99">
      <c r="I99" s="64"/>
      <c r="N99" s="63"/>
    </row>
    <row r="100">
      <c r="I100" s="64"/>
      <c r="N100" s="63"/>
    </row>
    <row r="101">
      <c r="I101" s="64"/>
      <c r="N101" s="63"/>
    </row>
    <row r="102">
      <c r="I102" s="64"/>
      <c r="N102" s="63"/>
    </row>
    <row r="103">
      <c r="I103" s="64"/>
      <c r="N103" s="63"/>
    </row>
    <row r="104">
      <c r="I104" s="64"/>
      <c r="N104" s="63"/>
    </row>
    <row r="105">
      <c r="I105" s="64"/>
      <c r="N105" s="63"/>
    </row>
    <row r="106">
      <c r="I106" s="64"/>
      <c r="N106" s="63"/>
    </row>
    <row r="107">
      <c r="I107" s="64"/>
      <c r="N107" s="63"/>
    </row>
    <row r="108">
      <c r="I108" s="64"/>
      <c r="N108" s="63"/>
    </row>
    <row r="109">
      <c r="I109" s="64"/>
      <c r="N109" s="63"/>
    </row>
    <row r="110">
      <c r="I110" s="64"/>
      <c r="N110" s="63"/>
    </row>
    <row r="111">
      <c r="I111" s="64"/>
      <c r="N111" s="63"/>
    </row>
    <row r="112">
      <c r="I112" s="64"/>
      <c r="N112" s="63"/>
    </row>
    <row r="113">
      <c r="I113" s="64"/>
      <c r="N113" s="63"/>
    </row>
    <row r="114">
      <c r="I114" s="64"/>
      <c r="N114" s="63"/>
    </row>
    <row r="115">
      <c r="I115" s="64"/>
      <c r="N115" s="63"/>
    </row>
    <row r="116">
      <c r="I116" s="64"/>
      <c r="N116" s="63"/>
    </row>
    <row r="117">
      <c r="I117" s="64"/>
      <c r="N117" s="63"/>
    </row>
    <row r="118">
      <c r="I118" s="64"/>
      <c r="N118" s="63"/>
    </row>
    <row r="119">
      <c r="I119" s="64"/>
      <c r="N119" s="63"/>
    </row>
    <row r="120">
      <c r="I120" s="64"/>
      <c r="N120" s="63"/>
    </row>
    <row r="121">
      <c r="I121" s="64"/>
      <c r="N121" s="63"/>
    </row>
    <row r="122">
      <c r="I122" s="64"/>
      <c r="N122" s="63"/>
    </row>
    <row r="123">
      <c r="I123" s="64"/>
      <c r="N123" s="63"/>
    </row>
    <row r="124">
      <c r="I124" s="64"/>
      <c r="N124" s="63"/>
    </row>
    <row r="125">
      <c r="I125" s="64"/>
      <c r="N125" s="63"/>
    </row>
    <row r="126">
      <c r="I126" s="64"/>
      <c r="N126" s="63"/>
    </row>
    <row r="127">
      <c r="I127" s="64"/>
      <c r="N127" s="63"/>
    </row>
    <row r="128">
      <c r="I128" s="64"/>
      <c r="N128" s="63"/>
    </row>
    <row r="129">
      <c r="I129" s="64"/>
      <c r="N129" s="63"/>
    </row>
    <row r="130">
      <c r="I130" s="64"/>
      <c r="N130" s="63"/>
    </row>
    <row r="131">
      <c r="I131" s="64"/>
      <c r="N131" s="63"/>
    </row>
    <row r="132">
      <c r="I132" s="64"/>
      <c r="N132" s="63"/>
    </row>
    <row r="133">
      <c r="I133" s="64"/>
      <c r="N133" s="63"/>
    </row>
    <row r="134">
      <c r="I134" s="64"/>
      <c r="N134" s="63"/>
    </row>
    <row r="135">
      <c r="I135" s="64"/>
      <c r="N135" s="63"/>
    </row>
    <row r="136">
      <c r="I136" s="64"/>
      <c r="N136" s="63"/>
    </row>
    <row r="137">
      <c r="I137" s="64"/>
      <c r="N137" s="63"/>
    </row>
    <row r="138">
      <c r="I138" s="64"/>
      <c r="N138" s="63"/>
    </row>
    <row r="139">
      <c r="I139" s="64"/>
      <c r="N139" s="63"/>
    </row>
    <row r="140">
      <c r="I140" s="64"/>
      <c r="N140" s="63"/>
    </row>
    <row r="141">
      <c r="I141" s="64"/>
      <c r="N141" s="63"/>
    </row>
    <row r="142">
      <c r="I142" s="64"/>
      <c r="N142" s="63"/>
    </row>
    <row r="143">
      <c r="I143" s="64"/>
      <c r="N143" s="63"/>
    </row>
    <row r="144">
      <c r="I144" s="64"/>
      <c r="N144" s="63"/>
    </row>
    <row r="145">
      <c r="I145" s="64"/>
      <c r="N145" s="63"/>
    </row>
    <row r="146">
      <c r="I146" s="64"/>
      <c r="N146" s="63"/>
    </row>
    <row r="147">
      <c r="I147" s="64"/>
      <c r="N147" s="63"/>
    </row>
    <row r="148">
      <c r="I148" s="64"/>
      <c r="N148" s="63"/>
    </row>
    <row r="149">
      <c r="I149" s="64"/>
      <c r="N149" s="63"/>
    </row>
    <row r="150">
      <c r="I150" s="64"/>
      <c r="N150" s="63"/>
    </row>
    <row r="151">
      <c r="I151" s="64"/>
      <c r="N151" s="63"/>
    </row>
    <row r="152">
      <c r="I152" s="64"/>
      <c r="N152" s="63"/>
    </row>
    <row r="153">
      <c r="I153" s="64"/>
      <c r="N153" s="63"/>
    </row>
    <row r="154">
      <c r="I154" s="64"/>
      <c r="N154" s="63"/>
    </row>
    <row r="155">
      <c r="I155" s="64"/>
      <c r="N155" s="63"/>
    </row>
    <row r="156">
      <c r="I156" s="64"/>
      <c r="N156" s="63"/>
    </row>
    <row r="157">
      <c r="I157" s="64"/>
      <c r="N157" s="63"/>
    </row>
    <row r="158">
      <c r="I158" s="64"/>
      <c r="N158" s="63"/>
    </row>
    <row r="159">
      <c r="I159" s="64"/>
      <c r="N159" s="63"/>
    </row>
    <row r="160">
      <c r="I160" s="64"/>
      <c r="N160" s="63"/>
    </row>
    <row r="161">
      <c r="I161" s="64"/>
      <c r="N161" s="63"/>
    </row>
    <row r="162">
      <c r="I162" s="64"/>
      <c r="N162" s="63"/>
    </row>
    <row r="163">
      <c r="I163" s="64"/>
      <c r="N163" s="63"/>
    </row>
    <row r="164">
      <c r="I164" s="64"/>
      <c r="N164" s="63"/>
    </row>
    <row r="165">
      <c r="I165" s="64"/>
      <c r="N165" s="63"/>
    </row>
    <row r="166">
      <c r="I166" s="64"/>
      <c r="N166" s="63"/>
    </row>
    <row r="167">
      <c r="I167" s="64"/>
      <c r="N167" s="63"/>
    </row>
    <row r="168">
      <c r="I168" s="64"/>
      <c r="N168" s="63"/>
    </row>
    <row r="169">
      <c r="I169" s="64"/>
      <c r="N169" s="63"/>
    </row>
    <row r="170">
      <c r="I170" s="64"/>
      <c r="N170" s="63"/>
    </row>
    <row r="171">
      <c r="I171" s="64"/>
      <c r="N171" s="63"/>
    </row>
    <row r="172">
      <c r="I172" s="64"/>
      <c r="N172" s="63"/>
    </row>
    <row r="173">
      <c r="I173" s="64"/>
      <c r="N173" s="63"/>
    </row>
    <row r="174">
      <c r="I174" s="64"/>
      <c r="N174" s="63"/>
    </row>
    <row r="175">
      <c r="I175" s="64"/>
      <c r="N175" s="63"/>
    </row>
    <row r="176">
      <c r="I176" s="64"/>
      <c r="N176" s="63"/>
    </row>
    <row r="177">
      <c r="I177" s="64"/>
      <c r="N177" s="63"/>
    </row>
    <row r="178">
      <c r="I178" s="64"/>
      <c r="N178" s="63"/>
    </row>
    <row r="179">
      <c r="I179" s="64"/>
      <c r="N179" s="63"/>
    </row>
    <row r="180">
      <c r="I180" s="64"/>
      <c r="N180" s="63"/>
    </row>
    <row r="181">
      <c r="I181" s="64"/>
      <c r="N181" s="63"/>
    </row>
    <row r="182">
      <c r="I182" s="64"/>
      <c r="N182" s="63"/>
    </row>
    <row r="183">
      <c r="I183" s="64"/>
      <c r="N183" s="63"/>
    </row>
    <row r="184">
      <c r="I184" s="64"/>
      <c r="N184" s="63"/>
    </row>
    <row r="185">
      <c r="I185" s="64"/>
      <c r="N185" s="63"/>
    </row>
    <row r="186">
      <c r="I186" s="64"/>
      <c r="N186" s="63"/>
    </row>
    <row r="187">
      <c r="I187" s="64"/>
      <c r="N187" s="63"/>
    </row>
    <row r="188">
      <c r="I188" s="64"/>
      <c r="N188" s="63"/>
    </row>
    <row r="189">
      <c r="I189" s="64"/>
      <c r="N189" s="63"/>
    </row>
    <row r="190">
      <c r="I190" s="64"/>
      <c r="N190" s="63"/>
    </row>
    <row r="191">
      <c r="I191" s="64"/>
      <c r="N191" s="63"/>
    </row>
    <row r="192">
      <c r="I192" s="64"/>
      <c r="N192" s="63"/>
    </row>
    <row r="193">
      <c r="I193" s="64"/>
      <c r="N193" s="63"/>
    </row>
    <row r="194">
      <c r="I194" s="64"/>
      <c r="N194" s="63"/>
    </row>
    <row r="195">
      <c r="I195" s="64"/>
      <c r="N195" s="63"/>
    </row>
    <row r="196">
      <c r="I196" s="64"/>
      <c r="N196" s="63"/>
    </row>
    <row r="197">
      <c r="I197" s="64"/>
      <c r="N197" s="63"/>
    </row>
    <row r="198">
      <c r="I198" s="64"/>
      <c r="N198" s="63"/>
    </row>
    <row r="199">
      <c r="I199" s="64"/>
      <c r="N199" s="63"/>
    </row>
    <row r="200">
      <c r="I200" s="64"/>
      <c r="N200" s="63"/>
    </row>
    <row r="201">
      <c r="I201" s="64"/>
      <c r="N201" s="63"/>
    </row>
    <row r="202">
      <c r="I202" s="64"/>
      <c r="N202" s="63"/>
    </row>
    <row r="203">
      <c r="I203" s="64"/>
      <c r="N203" s="63"/>
    </row>
    <row r="204">
      <c r="I204" s="64"/>
      <c r="N204" s="63"/>
    </row>
    <row r="205">
      <c r="I205" s="64"/>
      <c r="N205" s="63"/>
    </row>
    <row r="206">
      <c r="I206" s="64"/>
      <c r="N206" s="63"/>
    </row>
    <row r="207">
      <c r="I207" s="64"/>
      <c r="N207" s="63"/>
    </row>
    <row r="208">
      <c r="I208" s="64"/>
      <c r="N208" s="63"/>
    </row>
    <row r="209">
      <c r="I209" s="64"/>
      <c r="N209" s="63"/>
    </row>
    <row r="210">
      <c r="I210" s="64"/>
      <c r="N210" s="63"/>
    </row>
    <row r="211">
      <c r="I211" s="64"/>
      <c r="N211" s="63"/>
    </row>
    <row r="212">
      <c r="I212" s="64"/>
      <c r="N212" s="63"/>
    </row>
    <row r="213">
      <c r="I213" s="64"/>
      <c r="N213" s="63"/>
    </row>
    <row r="214">
      <c r="I214" s="64"/>
      <c r="N214" s="63"/>
    </row>
    <row r="215">
      <c r="I215" s="64"/>
      <c r="N215" s="63"/>
    </row>
    <row r="216">
      <c r="I216" s="64"/>
      <c r="N216" s="63"/>
    </row>
    <row r="217">
      <c r="I217" s="64"/>
      <c r="N217" s="63"/>
    </row>
    <row r="218">
      <c r="I218" s="64"/>
      <c r="N218" s="63"/>
    </row>
    <row r="219">
      <c r="I219" s="64"/>
      <c r="N219" s="63"/>
    </row>
    <row r="220">
      <c r="I220" s="64"/>
      <c r="N220" s="63"/>
    </row>
    <row r="221">
      <c r="I221" s="64"/>
      <c r="N221" s="63"/>
    </row>
    <row r="222">
      <c r="I222" s="64"/>
      <c r="N222" s="63"/>
    </row>
    <row r="223">
      <c r="I223" s="64"/>
      <c r="N223" s="63"/>
    </row>
    <row r="224">
      <c r="I224" s="64"/>
      <c r="N224" s="63"/>
    </row>
    <row r="225">
      <c r="I225" s="64"/>
      <c r="N225" s="63"/>
    </row>
    <row r="226">
      <c r="I226" s="64"/>
      <c r="N226" s="63"/>
    </row>
    <row r="227">
      <c r="I227" s="64"/>
      <c r="N227" s="63"/>
    </row>
    <row r="228">
      <c r="I228" s="64"/>
      <c r="N228" s="63"/>
    </row>
    <row r="229">
      <c r="I229" s="64"/>
      <c r="N229" s="63"/>
    </row>
    <row r="230">
      <c r="I230" s="64"/>
      <c r="N230" s="63"/>
    </row>
    <row r="231">
      <c r="I231" s="64"/>
      <c r="N231" s="63"/>
    </row>
    <row r="232">
      <c r="I232" s="64"/>
      <c r="N232" s="63"/>
    </row>
    <row r="233">
      <c r="I233" s="64"/>
      <c r="N233" s="63"/>
    </row>
    <row r="234">
      <c r="I234" s="64"/>
      <c r="N234" s="63"/>
    </row>
    <row r="235">
      <c r="I235" s="64"/>
      <c r="N235" s="63"/>
    </row>
    <row r="236">
      <c r="I236" s="64"/>
      <c r="N236" s="63"/>
    </row>
    <row r="237">
      <c r="I237" s="64"/>
      <c r="N237" s="63"/>
    </row>
    <row r="238">
      <c r="I238" s="64"/>
      <c r="N238" s="63"/>
    </row>
    <row r="239">
      <c r="I239" s="64"/>
      <c r="N239" s="63"/>
    </row>
    <row r="240">
      <c r="I240" s="64"/>
      <c r="N240" s="63"/>
    </row>
    <row r="241">
      <c r="I241" s="64"/>
      <c r="N241" s="63"/>
    </row>
    <row r="242">
      <c r="I242" s="64"/>
      <c r="N242" s="63"/>
    </row>
    <row r="243">
      <c r="I243" s="64"/>
      <c r="N243" s="63"/>
    </row>
    <row r="244">
      <c r="I244" s="64"/>
      <c r="N244" s="63"/>
    </row>
    <row r="245">
      <c r="I245" s="64"/>
      <c r="N245" s="63"/>
    </row>
    <row r="246">
      <c r="I246" s="64"/>
      <c r="N246" s="63"/>
    </row>
    <row r="247">
      <c r="I247" s="64"/>
      <c r="N247" s="63"/>
    </row>
    <row r="248">
      <c r="I248" s="64"/>
      <c r="N248" s="63"/>
    </row>
    <row r="249">
      <c r="I249" s="64"/>
      <c r="N249" s="63"/>
    </row>
    <row r="250">
      <c r="I250" s="64"/>
      <c r="N250" s="63"/>
    </row>
    <row r="251">
      <c r="I251" s="64"/>
      <c r="N251" s="63"/>
    </row>
    <row r="252">
      <c r="I252" s="64"/>
      <c r="N252" s="63"/>
    </row>
    <row r="253">
      <c r="I253" s="64"/>
      <c r="N253" s="63"/>
    </row>
    <row r="254">
      <c r="I254" s="64"/>
      <c r="N254" s="63"/>
    </row>
    <row r="255">
      <c r="I255" s="64"/>
      <c r="N255" s="63"/>
    </row>
    <row r="256">
      <c r="I256" s="64"/>
      <c r="N256" s="63"/>
    </row>
    <row r="257">
      <c r="I257" s="64"/>
      <c r="N257" s="63"/>
    </row>
    <row r="258">
      <c r="I258" s="64"/>
      <c r="N258" s="63"/>
    </row>
    <row r="259">
      <c r="I259" s="64"/>
      <c r="N259" s="63"/>
    </row>
    <row r="260">
      <c r="I260" s="64"/>
      <c r="N260" s="63"/>
    </row>
    <row r="261">
      <c r="I261" s="64"/>
      <c r="N261" s="63"/>
    </row>
    <row r="262">
      <c r="I262" s="64"/>
      <c r="N262" s="63"/>
    </row>
    <row r="263">
      <c r="I263" s="64"/>
      <c r="N263" s="63"/>
    </row>
    <row r="264">
      <c r="I264" s="64"/>
      <c r="N264" s="63"/>
    </row>
    <row r="265">
      <c r="I265" s="64"/>
      <c r="N265" s="63"/>
    </row>
    <row r="266">
      <c r="I266" s="64"/>
      <c r="N266" s="63"/>
    </row>
    <row r="267">
      <c r="I267" s="64"/>
      <c r="N267" s="63"/>
    </row>
    <row r="268">
      <c r="I268" s="64"/>
      <c r="N268" s="63"/>
    </row>
    <row r="269">
      <c r="I269" s="64"/>
      <c r="N269" s="63"/>
    </row>
    <row r="270">
      <c r="I270" s="64"/>
      <c r="N270" s="63"/>
    </row>
    <row r="271">
      <c r="I271" s="64"/>
      <c r="N271" s="63"/>
    </row>
    <row r="272">
      <c r="I272" s="64"/>
      <c r="N272" s="63"/>
    </row>
    <row r="273">
      <c r="I273" s="64"/>
      <c r="N273" s="63"/>
    </row>
    <row r="274">
      <c r="I274" s="64"/>
      <c r="N274" s="63"/>
    </row>
    <row r="275">
      <c r="I275" s="64"/>
      <c r="N275" s="63"/>
    </row>
    <row r="276">
      <c r="I276" s="64"/>
      <c r="N276" s="63"/>
    </row>
    <row r="277">
      <c r="I277" s="64"/>
      <c r="N277" s="63"/>
    </row>
    <row r="278">
      <c r="I278" s="64"/>
      <c r="N278" s="63"/>
    </row>
    <row r="279">
      <c r="I279" s="64"/>
      <c r="N279" s="63"/>
    </row>
    <row r="280">
      <c r="I280" s="64"/>
      <c r="N280" s="63"/>
    </row>
    <row r="281">
      <c r="I281" s="64"/>
      <c r="N281" s="63"/>
    </row>
    <row r="282">
      <c r="I282" s="64"/>
      <c r="N282" s="63"/>
    </row>
    <row r="283">
      <c r="I283" s="64"/>
      <c r="N283" s="63"/>
    </row>
    <row r="284">
      <c r="I284" s="64"/>
      <c r="N284" s="63"/>
    </row>
    <row r="285">
      <c r="I285" s="64"/>
      <c r="N285" s="63"/>
    </row>
    <row r="286">
      <c r="I286" s="64"/>
      <c r="N286" s="63"/>
    </row>
    <row r="287">
      <c r="I287" s="64"/>
      <c r="N287" s="63"/>
    </row>
    <row r="288">
      <c r="I288" s="64"/>
      <c r="N288" s="63"/>
    </row>
    <row r="289">
      <c r="I289" s="64"/>
      <c r="N289" s="63"/>
    </row>
    <row r="290">
      <c r="I290" s="64"/>
      <c r="N290" s="63"/>
    </row>
    <row r="291">
      <c r="I291" s="64"/>
      <c r="N291" s="63"/>
    </row>
    <row r="292">
      <c r="I292" s="64"/>
      <c r="N292" s="63"/>
    </row>
    <row r="293">
      <c r="I293" s="64"/>
      <c r="N293" s="63"/>
    </row>
    <row r="294">
      <c r="I294" s="64"/>
      <c r="N294" s="63"/>
    </row>
    <row r="295">
      <c r="I295" s="64"/>
      <c r="N295" s="63"/>
    </row>
    <row r="296">
      <c r="I296" s="64"/>
      <c r="N296" s="63"/>
    </row>
    <row r="297">
      <c r="I297" s="64"/>
      <c r="N297" s="63"/>
    </row>
    <row r="298">
      <c r="I298" s="64"/>
      <c r="N298" s="63"/>
    </row>
    <row r="299">
      <c r="I299" s="64"/>
      <c r="N299" s="63"/>
    </row>
    <row r="300">
      <c r="I300" s="64"/>
      <c r="N300" s="63"/>
    </row>
    <row r="301">
      <c r="I301" s="64"/>
      <c r="N301" s="63"/>
    </row>
    <row r="302">
      <c r="I302" s="64"/>
      <c r="N302" s="63"/>
    </row>
    <row r="303">
      <c r="I303" s="64"/>
      <c r="N303" s="63"/>
    </row>
    <row r="304">
      <c r="I304" s="64"/>
      <c r="N304" s="63"/>
    </row>
    <row r="305">
      <c r="I305" s="64"/>
      <c r="N305" s="63"/>
    </row>
    <row r="306">
      <c r="I306" s="64"/>
      <c r="N306" s="63"/>
    </row>
    <row r="307">
      <c r="I307" s="64"/>
      <c r="N307" s="63"/>
    </row>
    <row r="308">
      <c r="I308" s="64"/>
      <c r="N308" s="63"/>
    </row>
    <row r="309">
      <c r="I309" s="64"/>
      <c r="N309" s="63"/>
    </row>
    <row r="310">
      <c r="I310" s="64"/>
      <c r="N310" s="63"/>
    </row>
    <row r="311">
      <c r="I311" s="64"/>
      <c r="N311" s="63"/>
    </row>
    <row r="312">
      <c r="I312" s="64"/>
      <c r="N312" s="63"/>
    </row>
    <row r="313">
      <c r="I313" s="64"/>
      <c r="N313" s="63"/>
    </row>
    <row r="314">
      <c r="I314" s="64"/>
      <c r="N314" s="63"/>
    </row>
    <row r="315">
      <c r="I315" s="64"/>
      <c r="N315" s="63"/>
    </row>
    <row r="316">
      <c r="I316" s="64"/>
      <c r="N316" s="63"/>
    </row>
    <row r="317">
      <c r="I317" s="64"/>
      <c r="N317" s="63"/>
    </row>
    <row r="318">
      <c r="I318" s="64"/>
      <c r="N318" s="63"/>
    </row>
    <row r="319">
      <c r="I319" s="64"/>
      <c r="N319" s="63"/>
    </row>
    <row r="320">
      <c r="I320" s="64"/>
      <c r="N320" s="63"/>
    </row>
    <row r="321">
      <c r="I321" s="64"/>
      <c r="N321" s="63"/>
    </row>
    <row r="322">
      <c r="I322" s="64"/>
      <c r="N322" s="63"/>
    </row>
    <row r="323">
      <c r="I323" s="64"/>
      <c r="N323" s="63"/>
    </row>
    <row r="324">
      <c r="I324" s="64"/>
      <c r="N324" s="63"/>
    </row>
    <row r="325">
      <c r="I325" s="64"/>
      <c r="N325" s="63"/>
    </row>
    <row r="326">
      <c r="I326" s="64"/>
      <c r="N326" s="63"/>
    </row>
    <row r="327">
      <c r="I327" s="64"/>
      <c r="N327" s="63"/>
    </row>
    <row r="328">
      <c r="I328" s="64"/>
      <c r="N328" s="63"/>
    </row>
    <row r="329">
      <c r="I329" s="64"/>
      <c r="N329" s="63"/>
    </row>
    <row r="330">
      <c r="I330" s="64"/>
      <c r="N330" s="63"/>
    </row>
    <row r="331">
      <c r="I331" s="64"/>
      <c r="N331" s="63"/>
    </row>
    <row r="332">
      <c r="I332" s="64"/>
      <c r="N332" s="63"/>
    </row>
    <row r="333">
      <c r="I333" s="64"/>
      <c r="N333" s="63"/>
    </row>
    <row r="334">
      <c r="I334" s="64"/>
      <c r="N334" s="63"/>
    </row>
    <row r="335">
      <c r="I335" s="64"/>
      <c r="N335" s="63"/>
    </row>
    <row r="336">
      <c r="I336" s="64"/>
      <c r="N336" s="63"/>
    </row>
    <row r="337">
      <c r="I337" s="64"/>
      <c r="N337" s="63"/>
    </row>
    <row r="338">
      <c r="I338" s="64"/>
      <c r="N338" s="63"/>
    </row>
    <row r="339">
      <c r="I339" s="64"/>
      <c r="N339" s="63"/>
    </row>
    <row r="340">
      <c r="I340" s="64"/>
      <c r="N340" s="63"/>
    </row>
    <row r="341">
      <c r="I341" s="64"/>
      <c r="N341" s="63"/>
    </row>
    <row r="342">
      <c r="I342" s="64"/>
      <c r="N342" s="63"/>
    </row>
    <row r="343">
      <c r="I343" s="64"/>
      <c r="N343" s="63"/>
    </row>
    <row r="344">
      <c r="I344" s="64"/>
      <c r="N344" s="63"/>
    </row>
    <row r="345">
      <c r="I345" s="64"/>
      <c r="N345" s="63"/>
    </row>
    <row r="346">
      <c r="I346" s="64"/>
      <c r="N346" s="63"/>
    </row>
    <row r="347">
      <c r="I347" s="64"/>
      <c r="N347" s="63"/>
    </row>
    <row r="348">
      <c r="I348" s="64"/>
      <c r="N348" s="63"/>
    </row>
    <row r="349">
      <c r="I349" s="64"/>
      <c r="N349" s="63"/>
    </row>
    <row r="350">
      <c r="I350" s="64"/>
      <c r="N350" s="63"/>
    </row>
    <row r="351">
      <c r="I351" s="64"/>
      <c r="N351" s="63"/>
    </row>
    <row r="352">
      <c r="I352" s="64"/>
      <c r="N352" s="63"/>
    </row>
    <row r="353">
      <c r="I353" s="64"/>
      <c r="N353" s="63"/>
    </row>
    <row r="354">
      <c r="I354" s="64"/>
      <c r="N354" s="63"/>
    </row>
    <row r="355">
      <c r="I355" s="64"/>
      <c r="N355" s="63"/>
    </row>
    <row r="356">
      <c r="I356" s="64"/>
      <c r="N356" s="63"/>
    </row>
    <row r="357">
      <c r="I357" s="64"/>
      <c r="N357" s="63"/>
    </row>
    <row r="358">
      <c r="I358" s="64"/>
      <c r="N358" s="63"/>
    </row>
    <row r="359">
      <c r="I359" s="64"/>
      <c r="N359" s="63"/>
    </row>
    <row r="360">
      <c r="I360" s="64"/>
      <c r="N360" s="63"/>
    </row>
    <row r="361">
      <c r="I361" s="64"/>
      <c r="N361" s="63"/>
    </row>
    <row r="362">
      <c r="I362" s="64"/>
      <c r="N362" s="63"/>
    </row>
    <row r="363">
      <c r="I363" s="64"/>
      <c r="N363" s="63"/>
    </row>
    <row r="364">
      <c r="I364" s="64"/>
      <c r="N364" s="63"/>
    </row>
    <row r="365">
      <c r="I365" s="64"/>
      <c r="N365" s="63"/>
    </row>
    <row r="366">
      <c r="I366" s="64"/>
      <c r="N366" s="63"/>
    </row>
    <row r="367">
      <c r="I367" s="64"/>
      <c r="N367" s="63"/>
    </row>
    <row r="368">
      <c r="I368" s="64"/>
      <c r="N368" s="63"/>
    </row>
    <row r="369">
      <c r="I369" s="64"/>
      <c r="N369" s="63"/>
    </row>
    <row r="370">
      <c r="I370" s="64"/>
      <c r="N370" s="63"/>
    </row>
    <row r="371">
      <c r="I371" s="64"/>
      <c r="N371" s="63"/>
    </row>
    <row r="372">
      <c r="I372" s="64"/>
      <c r="N372" s="63"/>
    </row>
    <row r="373">
      <c r="I373" s="64"/>
      <c r="N373" s="63"/>
    </row>
    <row r="374">
      <c r="I374" s="64"/>
      <c r="N374" s="63"/>
    </row>
    <row r="375">
      <c r="I375" s="64"/>
      <c r="N375" s="63"/>
    </row>
    <row r="376">
      <c r="I376" s="64"/>
      <c r="N376" s="63"/>
    </row>
    <row r="377">
      <c r="I377" s="64"/>
      <c r="N377" s="63"/>
    </row>
    <row r="378">
      <c r="I378" s="64"/>
      <c r="N378" s="63"/>
    </row>
    <row r="379">
      <c r="I379" s="64"/>
      <c r="N379" s="63"/>
    </row>
    <row r="380">
      <c r="I380" s="64"/>
      <c r="N380" s="63"/>
    </row>
    <row r="381">
      <c r="I381" s="64"/>
      <c r="N381" s="63"/>
    </row>
    <row r="382">
      <c r="I382" s="64"/>
      <c r="N382" s="63"/>
    </row>
    <row r="383">
      <c r="I383" s="64"/>
      <c r="N383" s="63"/>
    </row>
    <row r="384">
      <c r="I384" s="64"/>
      <c r="N384" s="63"/>
    </row>
    <row r="385">
      <c r="I385" s="64"/>
      <c r="N385" s="63"/>
    </row>
    <row r="386">
      <c r="I386" s="64"/>
      <c r="N386" s="63"/>
    </row>
    <row r="387">
      <c r="I387" s="64"/>
      <c r="N387" s="63"/>
    </row>
    <row r="388">
      <c r="I388" s="64"/>
      <c r="N388" s="63"/>
    </row>
    <row r="389">
      <c r="I389" s="64"/>
      <c r="N389" s="63"/>
    </row>
    <row r="390">
      <c r="I390" s="64"/>
      <c r="N390" s="63"/>
    </row>
    <row r="391">
      <c r="I391" s="64"/>
      <c r="N391" s="63"/>
    </row>
    <row r="392">
      <c r="I392" s="64"/>
      <c r="N392" s="63"/>
    </row>
    <row r="393">
      <c r="I393" s="64"/>
      <c r="N393" s="63"/>
    </row>
    <row r="394">
      <c r="I394" s="64"/>
      <c r="N394" s="63"/>
    </row>
    <row r="395">
      <c r="I395" s="64"/>
      <c r="N395" s="63"/>
    </row>
    <row r="396">
      <c r="I396" s="64"/>
      <c r="N396" s="63"/>
    </row>
    <row r="397">
      <c r="I397" s="64"/>
      <c r="N397" s="63"/>
    </row>
    <row r="398">
      <c r="I398" s="64"/>
      <c r="N398" s="63"/>
    </row>
    <row r="399">
      <c r="I399" s="64"/>
      <c r="N399" s="63"/>
    </row>
    <row r="400">
      <c r="I400" s="64"/>
      <c r="N400" s="63"/>
    </row>
    <row r="401">
      <c r="I401" s="64"/>
      <c r="N401" s="63"/>
    </row>
    <row r="402">
      <c r="I402" s="64"/>
      <c r="N402" s="63"/>
    </row>
    <row r="403">
      <c r="I403" s="64"/>
      <c r="N403" s="63"/>
    </row>
    <row r="404">
      <c r="I404" s="64"/>
      <c r="N404" s="63"/>
    </row>
    <row r="405">
      <c r="I405" s="64"/>
      <c r="N405" s="63"/>
    </row>
    <row r="406">
      <c r="I406" s="64"/>
      <c r="N406" s="63"/>
    </row>
    <row r="407">
      <c r="I407" s="64"/>
      <c r="N407" s="63"/>
    </row>
    <row r="408">
      <c r="I408" s="64"/>
      <c r="N408" s="63"/>
    </row>
    <row r="409">
      <c r="I409" s="64"/>
      <c r="N409" s="63"/>
    </row>
    <row r="410">
      <c r="I410" s="64"/>
      <c r="N410" s="63"/>
    </row>
    <row r="411">
      <c r="I411" s="64"/>
      <c r="N411" s="63"/>
    </row>
    <row r="412">
      <c r="I412" s="64"/>
      <c r="N412" s="63"/>
    </row>
    <row r="413">
      <c r="I413" s="64"/>
      <c r="N413" s="63"/>
    </row>
    <row r="414">
      <c r="I414" s="64"/>
      <c r="N414" s="63"/>
    </row>
    <row r="415">
      <c r="I415" s="64"/>
      <c r="N415" s="63"/>
    </row>
    <row r="416">
      <c r="I416" s="64"/>
      <c r="N416" s="63"/>
    </row>
    <row r="417">
      <c r="I417" s="64"/>
      <c r="N417" s="63"/>
    </row>
    <row r="418">
      <c r="I418" s="64"/>
      <c r="N418" s="63"/>
    </row>
    <row r="419">
      <c r="I419" s="64"/>
      <c r="N419" s="63"/>
    </row>
    <row r="420">
      <c r="I420" s="64"/>
      <c r="N420" s="63"/>
    </row>
    <row r="421">
      <c r="I421" s="64"/>
      <c r="N421" s="63"/>
    </row>
    <row r="422">
      <c r="I422" s="64"/>
      <c r="N422" s="63"/>
    </row>
    <row r="423">
      <c r="I423" s="64"/>
      <c r="N423" s="63"/>
    </row>
    <row r="424">
      <c r="I424" s="64"/>
      <c r="N424" s="63"/>
    </row>
    <row r="425">
      <c r="I425" s="64"/>
      <c r="N425" s="63"/>
    </row>
    <row r="426">
      <c r="I426" s="64"/>
      <c r="N426" s="63"/>
    </row>
    <row r="427">
      <c r="I427" s="64"/>
      <c r="N427" s="63"/>
    </row>
    <row r="428">
      <c r="I428" s="64"/>
      <c r="N428" s="63"/>
    </row>
    <row r="429">
      <c r="I429" s="64"/>
      <c r="N429" s="63"/>
    </row>
    <row r="430">
      <c r="I430" s="64"/>
      <c r="N430" s="63"/>
    </row>
    <row r="431">
      <c r="I431" s="64"/>
      <c r="N431" s="63"/>
    </row>
    <row r="432">
      <c r="I432" s="64"/>
      <c r="N432" s="63"/>
    </row>
    <row r="433">
      <c r="I433" s="64"/>
      <c r="N433" s="63"/>
    </row>
    <row r="434">
      <c r="I434" s="64"/>
      <c r="N434" s="63"/>
    </row>
    <row r="435">
      <c r="I435" s="64"/>
      <c r="N435" s="63"/>
    </row>
    <row r="436">
      <c r="I436" s="64"/>
      <c r="N436" s="63"/>
    </row>
    <row r="437">
      <c r="I437" s="64"/>
      <c r="N437" s="63"/>
    </row>
    <row r="438">
      <c r="I438" s="64"/>
      <c r="N438" s="63"/>
    </row>
    <row r="439">
      <c r="I439" s="64"/>
      <c r="N439" s="63"/>
    </row>
    <row r="440">
      <c r="I440" s="64"/>
      <c r="N440" s="63"/>
    </row>
    <row r="441">
      <c r="I441" s="64"/>
      <c r="N441" s="63"/>
    </row>
    <row r="442">
      <c r="I442" s="64"/>
      <c r="N442" s="63"/>
    </row>
    <row r="443">
      <c r="I443" s="64"/>
      <c r="N443" s="63"/>
    </row>
    <row r="444">
      <c r="I444" s="64"/>
      <c r="N444" s="63"/>
    </row>
    <row r="445">
      <c r="I445" s="64"/>
      <c r="N445" s="63"/>
    </row>
    <row r="446">
      <c r="I446" s="64"/>
      <c r="N446" s="63"/>
    </row>
    <row r="447">
      <c r="I447" s="64"/>
      <c r="N447" s="63"/>
    </row>
    <row r="448">
      <c r="I448" s="64"/>
      <c r="N448" s="63"/>
    </row>
    <row r="449">
      <c r="I449" s="64"/>
      <c r="N449" s="63"/>
    </row>
    <row r="450">
      <c r="I450" s="64"/>
      <c r="N450" s="63"/>
    </row>
    <row r="451">
      <c r="I451" s="64"/>
      <c r="N451" s="63"/>
    </row>
    <row r="452">
      <c r="I452" s="64"/>
      <c r="N452" s="63"/>
    </row>
    <row r="453">
      <c r="I453" s="64"/>
      <c r="N453" s="63"/>
    </row>
    <row r="454">
      <c r="I454" s="64"/>
      <c r="N454" s="63"/>
    </row>
    <row r="455">
      <c r="I455" s="64"/>
      <c r="N455" s="63"/>
    </row>
    <row r="456">
      <c r="I456" s="64"/>
      <c r="N456" s="63"/>
    </row>
    <row r="457">
      <c r="I457" s="64"/>
      <c r="N457" s="63"/>
    </row>
    <row r="458">
      <c r="I458" s="64"/>
      <c r="N458" s="63"/>
    </row>
    <row r="459">
      <c r="I459" s="64"/>
      <c r="N459" s="63"/>
    </row>
    <row r="460">
      <c r="I460" s="64"/>
      <c r="N460" s="63"/>
    </row>
    <row r="461">
      <c r="I461" s="64"/>
      <c r="N461" s="63"/>
    </row>
    <row r="462">
      <c r="I462" s="64"/>
      <c r="N462" s="63"/>
    </row>
    <row r="463">
      <c r="I463" s="64"/>
      <c r="N463" s="63"/>
    </row>
    <row r="464">
      <c r="I464" s="64"/>
      <c r="N464" s="63"/>
    </row>
    <row r="465">
      <c r="I465" s="64"/>
      <c r="N465" s="63"/>
    </row>
    <row r="466">
      <c r="I466" s="64"/>
      <c r="N466" s="63"/>
    </row>
    <row r="467">
      <c r="I467" s="64"/>
      <c r="N467" s="63"/>
    </row>
    <row r="468">
      <c r="I468" s="64"/>
      <c r="N468" s="63"/>
    </row>
    <row r="469">
      <c r="I469" s="64"/>
      <c r="N469" s="63"/>
    </row>
    <row r="470">
      <c r="I470" s="64"/>
      <c r="N470" s="63"/>
    </row>
    <row r="471">
      <c r="I471" s="64"/>
      <c r="N471" s="63"/>
    </row>
    <row r="472">
      <c r="I472" s="64"/>
      <c r="N472" s="63"/>
    </row>
    <row r="473">
      <c r="I473" s="64"/>
      <c r="N473" s="63"/>
    </row>
    <row r="474">
      <c r="I474" s="64"/>
      <c r="N474" s="63"/>
    </row>
    <row r="475">
      <c r="I475" s="64"/>
      <c r="N475" s="63"/>
    </row>
    <row r="476">
      <c r="I476" s="64"/>
      <c r="N476" s="63"/>
    </row>
    <row r="477">
      <c r="I477" s="64"/>
      <c r="N477" s="63"/>
    </row>
    <row r="478">
      <c r="I478" s="64"/>
      <c r="N478" s="63"/>
    </row>
    <row r="479">
      <c r="I479" s="64"/>
      <c r="N479" s="63"/>
    </row>
    <row r="480">
      <c r="I480" s="64"/>
      <c r="N480" s="63"/>
    </row>
    <row r="481">
      <c r="I481" s="64"/>
      <c r="N481" s="63"/>
    </row>
    <row r="482">
      <c r="I482" s="64"/>
      <c r="N482" s="63"/>
    </row>
    <row r="483">
      <c r="I483" s="64"/>
      <c r="N483" s="63"/>
    </row>
    <row r="484">
      <c r="I484" s="64"/>
      <c r="N484" s="63"/>
    </row>
    <row r="485">
      <c r="I485" s="64"/>
      <c r="N485" s="63"/>
    </row>
    <row r="486">
      <c r="I486" s="64"/>
      <c r="N486" s="63"/>
    </row>
    <row r="487">
      <c r="I487" s="64"/>
      <c r="N487" s="63"/>
    </row>
    <row r="488">
      <c r="I488" s="64"/>
      <c r="N488" s="63"/>
    </row>
    <row r="489">
      <c r="I489" s="64"/>
      <c r="N489" s="63"/>
    </row>
    <row r="490">
      <c r="I490" s="64"/>
      <c r="N490" s="63"/>
    </row>
    <row r="491">
      <c r="I491" s="64"/>
      <c r="N491" s="63"/>
    </row>
    <row r="492">
      <c r="I492" s="64"/>
      <c r="N492" s="63"/>
    </row>
    <row r="493">
      <c r="I493" s="64"/>
      <c r="N493" s="63"/>
    </row>
    <row r="494">
      <c r="I494" s="64"/>
      <c r="N494" s="63"/>
    </row>
    <row r="495">
      <c r="I495" s="64"/>
      <c r="N495" s="63"/>
    </row>
    <row r="496">
      <c r="I496" s="64"/>
      <c r="N496" s="63"/>
    </row>
    <row r="497">
      <c r="I497" s="64"/>
      <c r="N497" s="63"/>
    </row>
    <row r="498">
      <c r="I498" s="64"/>
      <c r="N498" s="63"/>
    </row>
    <row r="499">
      <c r="I499" s="64"/>
      <c r="N499" s="63"/>
    </row>
    <row r="500">
      <c r="I500" s="64"/>
      <c r="N500" s="63"/>
    </row>
    <row r="501">
      <c r="I501" s="64"/>
      <c r="N501" s="63"/>
    </row>
    <row r="502">
      <c r="I502" s="64"/>
      <c r="N502" s="63"/>
    </row>
    <row r="503">
      <c r="I503" s="64"/>
      <c r="N503" s="63"/>
    </row>
    <row r="504">
      <c r="I504" s="64"/>
      <c r="N504" s="63"/>
    </row>
    <row r="505">
      <c r="I505" s="64"/>
      <c r="N505" s="63"/>
    </row>
    <row r="506">
      <c r="I506" s="64"/>
      <c r="N506" s="63"/>
    </row>
    <row r="507">
      <c r="I507" s="64"/>
      <c r="N507" s="63"/>
    </row>
    <row r="508">
      <c r="I508" s="64"/>
      <c r="N508" s="63"/>
    </row>
    <row r="509">
      <c r="I509" s="64"/>
      <c r="N509" s="63"/>
    </row>
    <row r="510">
      <c r="I510" s="64"/>
      <c r="N510" s="63"/>
    </row>
    <row r="511">
      <c r="I511" s="64"/>
      <c r="N511" s="63"/>
    </row>
    <row r="512">
      <c r="I512" s="64"/>
      <c r="N512" s="63"/>
    </row>
    <row r="513">
      <c r="I513" s="64"/>
      <c r="N513" s="63"/>
    </row>
    <row r="514">
      <c r="I514" s="64"/>
      <c r="N514" s="63"/>
    </row>
    <row r="515">
      <c r="I515" s="64"/>
      <c r="N515" s="63"/>
    </row>
    <row r="516">
      <c r="I516" s="64"/>
      <c r="N516" s="63"/>
    </row>
    <row r="517">
      <c r="I517" s="64"/>
      <c r="N517" s="63"/>
    </row>
    <row r="518">
      <c r="I518" s="64"/>
      <c r="N518" s="63"/>
    </row>
    <row r="519">
      <c r="I519" s="64"/>
      <c r="N519" s="63"/>
    </row>
    <row r="520">
      <c r="I520" s="64"/>
      <c r="N520" s="63"/>
    </row>
    <row r="521">
      <c r="I521" s="64"/>
      <c r="N521" s="63"/>
    </row>
    <row r="522">
      <c r="I522" s="64"/>
      <c r="N522" s="63"/>
    </row>
    <row r="523">
      <c r="I523" s="64"/>
      <c r="N523" s="63"/>
    </row>
    <row r="524">
      <c r="I524" s="64"/>
      <c r="N524" s="63"/>
    </row>
    <row r="525">
      <c r="I525" s="64"/>
      <c r="N525" s="63"/>
    </row>
    <row r="526">
      <c r="I526" s="64"/>
      <c r="N526" s="63"/>
    </row>
    <row r="527">
      <c r="I527" s="64"/>
      <c r="N527" s="63"/>
    </row>
    <row r="528">
      <c r="I528" s="64"/>
      <c r="N528" s="63"/>
    </row>
    <row r="529">
      <c r="I529" s="64"/>
      <c r="N529" s="63"/>
    </row>
    <row r="530">
      <c r="I530" s="64"/>
      <c r="N530" s="63"/>
    </row>
    <row r="531">
      <c r="I531" s="64"/>
      <c r="N531" s="63"/>
    </row>
    <row r="532">
      <c r="I532" s="64"/>
      <c r="N532" s="63"/>
    </row>
    <row r="533">
      <c r="I533" s="64"/>
      <c r="N533" s="63"/>
    </row>
    <row r="534">
      <c r="I534" s="64"/>
      <c r="N534" s="63"/>
    </row>
    <row r="535">
      <c r="I535" s="64"/>
      <c r="N535" s="63"/>
    </row>
    <row r="536">
      <c r="I536" s="64"/>
      <c r="N536" s="63"/>
    </row>
    <row r="537">
      <c r="I537" s="64"/>
      <c r="N537" s="63"/>
    </row>
    <row r="538">
      <c r="I538" s="64"/>
      <c r="N538" s="63"/>
    </row>
    <row r="539">
      <c r="I539" s="64"/>
      <c r="N539" s="63"/>
    </row>
    <row r="540">
      <c r="I540" s="64"/>
      <c r="N540" s="63"/>
    </row>
    <row r="541">
      <c r="I541" s="64"/>
      <c r="N541" s="63"/>
    </row>
    <row r="542">
      <c r="I542" s="64"/>
      <c r="N542" s="63"/>
    </row>
    <row r="543">
      <c r="I543" s="64"/>
      <c r="N543" s="63"/>
    </row>
    <row r="544">
      <c r="I544" s="64"/>
      <c r="N544" s="63"/>
    </row>
    <row r="545">
      <c r="I545" s="64"/>
      <c r="N545" s="63"/>
    </row>
    <row r="546">
      <c r="I546" s="64"/>
      <c r="N546" s="63"/>
    </row>
    <row r="547">
      <c r="I547" s="64"/>
      <c r="N547" s="63"/>
    </row>
    <row r="548">
      <c r="I548" s="64"/>
      <c r="N548" s="63"/>
    </row>
    <row r="549">
      <c r="I549" s="64"/>
      <c r="N549" s="63"/>
    </row>
    <row r="550">
      <c r="I550" s="64"/>
      <c r="N550" s="63"/>
    </row>
    <row r="551">
      <c r="I551" s="64"/>
      <c r="N551" s="63"/>
    </row>
    <row r="552">
      <c r="I552" s="64"/>
      <c r="N552" s="63"/>
    </row>
    <row r="553">
      <c r="I553" s="64"/>
      <c r="N553" s="63"/>
    </row>
    <row r="554">
      <c r="I554" s="64"/>
      <c r="N554" s="63"/>
    </row>
    <row r="555">
      <c r="I555" s="64"/>
      <c r="N555" s="63"/>
    </row>
    <row r="556">
      <c r="I556" s="64"/>
      <c r="N556" s="63"/>
    </row>
    <row r="557">
      <c r="I557" s="64"/>
      <c r="N557" s="63"/>
    </row>
    <row r="558">
      <c r="I558" s="64"/>
      <c r="N558" s="63"/>
    </row>
    <row r="559">
      <c r="I559" s="64"/>
      <c r="N559" s="63"/>
    </row>
    <row r="560">
      <c r="I560" s="64"/>
      <c r="N560" s="63"/>
    </row>
    <row r="561">
      <c r="I561" s="64"/>
      <c r="N561" s="63"/>
    </row>
    <row r="562">
      <c r="I562" s="64"/>
      <c r="N562" s="63"/>
    </row>
    <row r="563">
      <c r="I563" s="64"/>
      <c r="N563" s="63"/>
    </row>
    <row r="564">
      <c r="I564" s="64"/>
      <c r="N564" s="63"/>
    </row>
    <row r="565">
      <c r="I565" s="64"/>
      <c r="N565" s="63"/>
    </row>
    <row r="566">
      <c r="I566" s="64"/>
      <c r="N566" s="63"/>
    </row>
    <row r="567">
      <c r="I567" s="64"/>
      <c r="N567" s="63"/>
    </row>
    <row r="568">
      <c r="I568" s="64"/>
      <c r="N568" s="63"/>
    </row>
    <row r="569">
      <c r="I569" s="64"/>
      <c r="N569" s="63"/>
    </row>
    <row r="570">
      <c r="I570" s="64"/>
      <c r="N570" s="63"/>
    </row>
    <row r="571">
      <c r="I571" s="64"/>
      <c r="N571" s="63"/>
    </row>
    <row r="572">
      <c r="I572" s="64"/>
      <c r="N572" s="63"/>
    </row>
    <row r="573">
      <c r="I573" s="64"/>
      <c r="N573" s="63"/>
    </row>
    <row r="574">
      <c r="I574" s="64"/>
      <c r="N574" s="63"/>
    </row>
    <row r="575">
      <c r="I575" s="64"/>
      <c r="N575" s="63"/>
    </row>
    <row r="576">
      <c r="I576" s="64"/>
      <c r="N576" s="63"/>
    </row>
    <row r="577">
      <c r="I577" s="64"/>
      <c r="N577" s="63"/>
    </row>
    <row r="578">
      <c r="I578" s="64"/>
      <c r="N578" s="63"/>
    </row>
    <row r="579">
      <c r="I579" s="64"/>
      <c r="N579" s="63"/>
    </row>
    <row r="580">
      <c r="I580" s="64"/>
      <c r="N580" s="63"/>
    </row>
    <row r="581">
      <c r="I581" s="64"/>
      <c r="N581" s="63"/>
    </row>
    <row r="582">
      <c r="I582" s="64"/>
      <c r="N582" s="63"/>
    </row>
    <row r="583">
      <c r="I583" s="64"/>
      <c r="N583" s="63"/>
    </row>
    <row r="584">
      <c r="I584" s="64"/>
      <c r="N584" s="63"/>
    </row>
    <row r="585">
      <c r="I585" s="64"/>
      <c r="N585" s="63"/>
    </row>
    <row r="586">
      <c r="I586" s="64"/>
      <c r="N586" s="63"/>
    </row>
    <row r="587">
      <c r="I587" s="64"/>
      <c r="N587" s="63"/>
    </row>
    <row r="588">
      <c r="I588" s="64"/>
      <c r="N588" s="63"/>
    </row>
    <row r="589">
      <c r="I589" s="64"/>
      <c r="N589" s="63"/>
    </row>
    <row r="590">
      <c r="I590" s="64"/>
      <c r="N590" s="63"/>
    </row>
    <row r="591">
      <c r="I591" s="64"/>
      <c r="N591" s="63"/>
    </row>
    <row r="592">
      <c r="I592" s="64"/>
      <c r="N592" s="63"/>
    </row>
    <row r="593">
      <c r="I593" s="64"/>
      <c r="N593" s="63"/>
    </row>
    <row r="594">
      <c r="I594" s="64"/>
      <c r="N594" s="63"/>
    </row>
    <row r="595">
      <c r="I595" s="64"/>
      <c r="N595" s="63"/>
    </row>
    <row r="596">
      <c r="I596" s="64"/>
      <c r="N596" s="63"/>
    </row>
    <row r="597">
      <c r="I597" s="64"/>
      <c r="N597" s="63"/>
    </row>
    <row r="598">
      <c r="I598" s="64"/>
      <c r="N598" s="63"/>
    </row>
    <row r="599">
      <c r="I599" s="64"/>
      <c r="N599" s="63"/>
    </row>
    <row r="600">
      <c r="I600" s="64"/>
      <c r="N600" s="63"/>
    </row>
    <row r="601">
      <c r="I601" s="64"/>
      <c r="N601" s="63"/>
    </row>
    <row r="602">
      <c r="I602" s="64"/>
      <c r="N602" s="63"/>
    </row>
    <row r="603">
      <c r="I603" s="64"/>
      <c r="N603" s="63"/>
    </row>
    <row r="604">
      <c r="I604" s="64"/>
      <c r="N604" s="63"/>
    </row>
    <row r="605">
      <c r="I605" s="64"/>
      <c r="N605" s="63"/>
    </row>
    <row r="606">
      <c r="I606" s="64"/>
      <c r="N606" s="63"/>
    </row>
    <row r="607">
      <c r="I607" s="64"/>
      <c r="N607" s="63"/>
    </row>
    <row r="608">
      <c r="I608" s="64"/>
      <c r="N608" s="63"/>
    </row>
    <row r="609">
      <c r="I609" s="64"/>
      <c r="N609" s="63"/>
    </row>
    <row r="610">
      <c r="I610" s="64"/>
      <c r="N610" s="63"/>
    </row>
    <row r="611">
      <c r="I611" s="64"/>
      <c r="N611" s="63"/>
    </row>
    <row r="612">
      <c r="I612" s="64"/>
      <c r="N612" s="63"/>
    </row>
    <row r="613">
      <c r="I613" s="64"/>
      <c r="N613" s="63"/>
    </row>
    <row r="614">
      <c r="I614" s="64"/>
      <c r="N614" s="63"/>
    </row>
    <row r="615">
      <c r="I615" s="64"/>
      <c r="N615" s="63"/>
    </row>
    <row r="616">
      <c r="I616" s="64"/>
      <c r="N616" s="63"/>
    </row>
    <row r="617">
      <c r="I617" s="64"/>
      <c r="N617" s="63"/>
    </row>
    <row r="618">
      <c r="I618" s="64"/>
      <c r="N618" s="63"/>
    </row>
    <row r="619">
      <c r="I619" s="64"/>
      <c r="N619" s="63"/>
    </row>
    <row r="620">
      <c r="I620" s="64"/>
      <c r="N620" s="63"/>
    </row>
    <row r="621">
      <c r="I621" s="64"/>
      <c r="N621" s="63"/>
    </row>
    <row r="622">
      <c r="I622" s="64"/>
      <c r="N622" s="63"/>
    </row>
    <row r="623">
      <c r="I623" s="64"/>
      <c r="N623" s="63"/>
    </row>
    <row r="624">
      <c r="I624" s="64"/>
      <c r="N624" s="63"/>
    </row>
    <row r="625">
      <c r="I625" s="64"/>
      <c r="N625" s="63"/>
    </row>
    <row r="626">
      <c r="I626" s="64"/>
      <c r="N626" s="63"/>
    </row>
    <row r="627">
      <c r="I627" s="64"/>
      <c r="N627" s="63"/>
    </row>
    <row r="628">
      <c r="I628" s="64"/>
      <c r="N628" s="63"/>
    </row>
    <row r="629">
      <c r="I629" s="64"/>
      <c r="N629" s="63"/>
    </row>
    <row r="630">
      <c r="I630" s="64"/>
      <c r="N630" s="63"/>
    </row>
    <row r="631">
      <c r="I631" s="64"/>
      <c r="N631" s="63"/>
    </row>
    <row r="632">
      <c r="I632" s="64"/>
      <c r="N632" s="63"/>
    </row>
    <row r="633">
      <c r="I633" s="64"/>
      <c r="N633" s="63"/>
    </row>
    <row r="634">
      <c r="I634" s="64"/>
      <c r="N634" s="63"/>
    </row>
    <row r="635">
      <c r="I635" s="64"/>
      <c r="N635" s="63"/>
    </row>
    <row r="636">
      <c r="I636" s="64"/>
      <c r="N636" s="63"/>
    </row>
    <row r="637">
      <c r="I637" s="64"/>
      <c r="N637" s="63"/>
    </row>
    <row r="638">
      <c r="I638" s="64"/>
      <c r="N638" s="63"/>
    </row>
    <row r="639">
      <c r="I639" s="64"/>
      <c r="N639" s="63"/>
    </row>
    <row r="640">
      <c r="I640" s="64"/>
      <c r="N640" s="63"/>
    </row>
    <row r="641">
      <c r="I641" s="64"/>
      <c r="N641" s="63"/>
    </row>
    <row r="642">
      <c r="I642" s="64"/>
      <c r="N642" s="63"/>
    </row>
    <row r="643">
      <c r="I643" s="64"/>
      <c r="N643" s="63"/>
    </row>
    <row r="644">
      <c r="I644" s="64"/>
      <c r="N644" s="63"/>
    </row>
    <row r="645">
      <c r="I645" s="64"/>
      <c r="N645" s="63"/>
    </row>
    <row r="646">
      <c r="I646" s="64"/>
      <c r="N646" s="63"/>
    </row>
    <row r="647">
      <c r="I647" s="64"/>
      <c r="N647" s="63"/>
    </row>
    <row r="648">
      <c r="I648" s="64"/>
      <c r="N648" s="63"/>
    </row>
    <row r="649">
      <c r="I649" s="64"/>
      <c r="N649" s="63"/>
    </row>
    <row r="650">
      <c r="I650" s="64"/>
      <c r="N650" s="63"/>
    </row>
    <row r="651">
      <c r="I651" s="64"/>
      <c r="N651" s="63"/>
    </row>
    <row r="652">
      <c r="I652" s="64"/>
      <c r="N652" s="63"/>
    </row>
    <row r="653">
      <c r="I653" s="64"/>
      <c r="N653" s="63"/>
    </row>
    <row r="654">
      <c r="I654" s="64"/>
      <c r="N654" s="63"/>
    </row>
    <row r="655">
      <c r="I655" s="64"/>
      <c r="N655" s="63"/>
    </row>
    <row r="656">
      <c r="I656" s="64"/>
      <c r="N656" s="63"/>
    </row>
    <row r="657">
      <c r="I657" s="64"/>
      <c r="N657" s="63"/>
    </row>
    <row r="658">
      <c r="I658" s="64"/>
      <c r="N658" s="63"/>
    </row>
    <row r="659">
      <c r="I659" s="64"/>
      <c r="N659" s="63"/>
    </row>
    <row r="660">
      <c r="I660" s="64"/>
      <c r="N660" s="63"/>
    </row>
    <row r="661">
      <c r="I661" s="64"/>
      <c r="N661" s="63"/>
    </row>
    <row r="662">
      <c r="I662" s="64"/>
      <c r="N662" s="63"/>
    </row>
    <row r="663">
      <c r="I663" s="64"/>
      <c r="N663" s="63"/>
    </row>
    <row r="664">
      <c r="I664" s="64"/>
      <c r="N664" s="63"/>
    </row>
    <row r="665">
      <c r="I665" s="64"/>
      <c r="N665" s="63"/>
    </row>
    <row r="666">
      <c r="I666" s="64"/>
      <c r="N666" s="63"/>
    </row>
    <row r="667">
      <c r="I667" s="64"/>
      <c r="N667" s="63"/>
    </row>
    <row r="668">
      <c r="I668" s="64"/>
      <c r="N668" s="63"/>
    </row>
    <row r="669">
      <c r="I669" s="64"/>
      <c r="N669" s="63"/>
    </row>
    <row r="670">
      <c r="I670" s="64"/>
      <c r="N670" s="63"/>
    </row>
    <row r="671">
      <c r="I671" s="64"/>
      <c r="N671" s="63"/>
    </row>
    <row r="672">
      <c r="I672" s="64"/>
      <c r="N672" s="63"/>
    </row>
    <row r="673">
      <c r="I673" s="64"/>
      <c r="N673" s="63"/>
    </row>
    <row r="674">
      <c r="I674" s="64"/>
      <c r="N674" s="63"/>
    </row>
    <row r="675">
      <c r="I675" s="64"/>
      <c r="N675" s="63"/>
    </row>
    <row r="676">
      <c r="I676" s="64"/>
      <c r="N676" s="63"/>
    </row>
    <row r="677">
      <c r="I677" s="64"/>
      <c r="N677" s="63"/>
    </row>
    <row r="678">
      <c r="I678" s="64"/>
      <c r="N678" s="63"/>
    </row>
    <row r="679">
      <c r="I679" s="64"/>
      <c r="N679" s="63"/>
    </row>
    <row r="680">
      <c r="I680" s="64"/>
      <c r="N680" s="63"/>
    </row>
    <row r="681">
      <c r="I681" s="64"/>
      <c r="N681" s="63"/>
    </row>
    <row r="682">
      <c r="I682" s="64"/>
      <c r="N682" s="63"/>
    </row>
    <row r="683">
      <c r="I683" s="64"/>
      <c r="N683" s="63"/>
    </row>
    <row r="684">
      <c r="I684" s="64"/>
      <c r="N684" s="63"/>
    </row>
    <row r="685">
      <c r="I685" s="64"/>
      <c r="N685" s="63"/>
    </row>
    <row r="686">
      <c r="I686" s="64"/>
      <c r="N686" s="63"/>
    </row>
    <row r="687">
      <c r="I687" s="64"/>
      <c r="N687" s="63"/>
    </row>
    <row r="688">
      <c r="I688" s="64"/>
      <c r="N688" s="63"/>
    </row>
    <row r="689">
      <c r="I689" s="64"/>
      <c r="N689" s="63"/>
    </row>
    <row r="690">
      <c r="I690" s="64"/>
      <c r="N690" s="63"/>
    </row>
    <row r="691">
      <c r="I691" s="64"/>
      <c r="N691" s="63"/>
    </row>
    <row r="692">
      <c r="I692" s="64"/>
      <c r="N692" s="63"/>
    </row>
    <row r="693">
      <c r="I693" s="64"/>
      <c r="N693" s="63"/>
    </row>
    <row r="694">
      <c r="I694" s="64"/>
      <c r="N694" s="63"/>
    </row>
    <row r="695">
      <c r="I695" s="64"/>
      <c r="N695" s="63"/>
    </row>
    <row r="696">
      <c r="I696" s="64"/>
      <c r="N696" s="63"/>
    </row>
    <row r="697">
      <c r="I697" s="64"/>
      <c r="N697" s="63"/>
    </row>
    <row r="698">
      <c r="I698" s="64"/>
      <c r="N698" s="63"/>
    </row>
    <row r="699">
      <c r="I699" s="64"/>
      <c r="N699" s="63"/>
    </row>
    <row r="700">
      <c r="I700" s="64"/>
      <c r="N700" s="63"/>
    </row>
    <row r="701">
      <c r="I701" s="64"/>
      <c r="N701" s="63"/>
    </row>
    <row r="702">
      <c r="I702" s="64"/>
      <c r="N702" s="63"/>
    </row>
    <row r="703">
      <c r="I703" s="64"/>
      <c r="N703" s="63"/>
    </row>
    <row r="704">
      <c r="I704" s="64"/>
      <c r="N704" s="63"/>
    </row>
    <row r="705">
      <c r="I705" s="64"/>
      <c r="N705" s="63"/>
    </row>
    <row r="706">
      <c r="I706" s="64"/>
      <c r="N706" s="63"/>
    </row>
    <row r="707">
      <c r="I707" s="64"/>
      <c r="N707" s="63"/>
    </row>
    <row r="708">
      <c r="I708" s="64"/>
      <c r="N708" s="63"/>
    </row>
    <row r="709">
      <c r="I709" s="64"/>
      <c r="N709" s="63"/>
    </row>
    <row r="710">
      <c r="I710" s="64"/>
      <c r="N710" s="63"/>
    </row>
    <row r="711">
      <c r="I711" s="64"/>
      <c r="N711" s="63"/>
    </row>
    <row r="712">
      <c r="I712" s="64"/>
      <c r="N712" s="63"/>
    </row>
    <row r="713">
      <c r="I713" s="64"/>
      <c r="N713" s="63"/>
    </row>
    <row r="714">
      <c r="I714" s="64"/>
      <c r="N714" s="63"/>
    </row>
    <row r="715">
      <c r="I715" s="64"/>
      <c r="N715" s="63"/>
    </row>
    <row r="716">
      <c r="I716" s="64"/>
      <c r="N716" s="63"/>
    </row>
    <row r="717">
      <c r="I717" s="64"/>
      <c r="N717" s="63"/>
    </row>
    <row r="718">
      <c r="I718" s="64"/>
      <c r="N718" s="63"/>
    </row>
    <row r="719">
      <c r="I719" s="64"/>
      <c r="N719" s="63"/>
    </row>
    <row r="720">
      <c r="I720" s="64"/>
      <c r="N720" s="63"/>
    </row>
    <row r="721">
      <c r="I721" s="64"/>
      <c r="N721" s="63"/>
    </row>
    <row r="722">
      <c r="I722" s="64"/>
      <c r="N722" s="63"/>
    </row>
    <row r="723">
      <c r="I723" s="64"/>
      <c r="N723" s="63"/>
    </row>
    <row r="724">
      <c r="I724" s="64"/>
      <c r="N724" s="63"/>
    </row>
    <row r="725">
      <c r="I725" s="64"/>
      <c r="N725" s="63"/>
    </row>
    <row r="726">
      <c r="I726" s="64"/>
      <c r="N726" s="63"/>
    </row>
    <row r="727">
      <c r="I727" s="64"/>
      <c r="N727" s="63"/>
    </row>
    <row r="728">
      <c r="I728" s="64"/>
      <c r="N728" s="63"/>
    </row>
    <row r="729">
      <c r="I729" s="64"/>
      <c r="N729" s="63"/>
    </row>
    <row r="730">
      <c r="I730" s="64"/>
      <c r="N730" s="63"/>
    </row>
    <row r="731">
      <c r="I731" s="64"/>
      <c r="N731" s="63"/>
    </row>
    <row r="732">
      <c r="I732" s="64"/>
      <c r="N732" s="63"/>
    </row>
    <row r="733">
      <c r="I733" s="64"/>
      <c r="N733" s="63"/>
    </row>
    <row r="734">
      <c r="I734" s="64"/>
      <c r="N734" s="63"/>
    </row>
    <row r="735">
      <c r="I735" s="64"/>
      <c r="N735" s="63"/>
    </row>
    <row r="736">
      <c r="I736" s="64"/>
      <c r="N736" s="63"/>
    </row>
    <row r="737">
      <c r="I737" s="64"/>
      <c r="N737" s="63"/>
    </row>
    <row r="738">
      <c r="I738" s="64"/>
      <c r="N738" s="63"/>
    </row>
    <row r="739">
      <c r="I739" s="64"/>
      <c r="N739" s="63"/>
    </row>
    <row r="740">
      <c r="I740" s="64"/>
      <c r="N740" s="63"/>
    </row>
    <row r="741">
      <c r="I741" s="64"/>
      <c r="N741" s="63"/>
    </row>
    <row r="742">
      <c r="I742" s="64"/>
      <c r="N742" s="63"/>
    </row>
    <row r="743">
      <c r="I743" s="64"/>
      <c r="N743" s="63"/>
    </row>
    <row r="744">
      <c r="I744" s="64"/>
      <c r="N744" s="63"/>
    </row>
    <row r="745">
      <c r="I745" s="64"/>
      <c r="N745" s="63"/>
    </row>
    <row r="746">
      <c r="I746" s="64"/>
      <c r="N746" s="63"/>
    </row>
    <row r="747">
      <c r="I747" s="64"/>
      <c r="N747" s="63"/>
    </row>
    <row r="748">
      <c r="I748" s="64"/>
      <c r="N748" s="63"/>
    </row>
    <row r="749">
      <c r="I749" s="64"/>
      <c r="N749" s="63"/>
    </row>
    <row r="750">
      <c r="I750" s="64"/>
      <c r="N750" s="63"/>
    </row>
    <row r="751">
      <c r="I751" s="64"/>
      <c r="N751" s="63"/>
    </row>
    <row r="752">
      <c r="I752" s="64"/>
      <c r="N752" s="63"/>
    </row>
    <row r="753">
      <c r="I753" s="64"/>
      <c r="N753" s="63"/>
    </row>
    <row r="754">
      <c r="I754" s="64"/>
      <c r="N754" s="63"/>
    </row>
    <row r="755">
      <c r="I755" s="64"/>
      <c r="N755" s="63"/>
    </row>
    <row r="756">
      <c r="I756" s="64"/>
      <c r="N756" s="63"/>
    </row>
    <row r="757">
      <c r="I757" s="64"/>
      <c r="N757" s="63"/>
    </row>
    <row r="758">
      <c r="I758" s="64"/>
      <c r="N758" s="63"/>
    </row>
    <row r="759">
      <c r="I759" s="64"/>
      <c r="N759" s="63"/>
    </row>
    <row r="760">
      <c r="I760" s="64"/>
      <c r="N760" s="63"/>
    </row>
    <row r="761">
      <c r="I761" s="64"/>
      <c r="N761" s="63"/>
    </row>
    <row r="762">
      <c r="I762" s="64"/>
      <c r="N762" s="63"/>
    </row>
    <row r="763">
      <c r="I763" s="64"/>
      <c r="N763" s="63"/>
    </row>
    <row r="764">
      <c r="I764" s="64"/>
      <c r="N764" s="63"/>
    </row>
    <row r="765">
      <c r="I765" s="64"/>
      <c r="N765" s="63"/>
    </row>
    <row r="766">
      <c r="I766" s="64"/>
      <c r="N766" s="63"/>
    </row>
    <row r="767">
      <c r="I767" s="64"/>
      <c r="N767" s="63"/>
    </row>
    <row r="768">
      <c r="I768" s="64"/>
      <c r="N768" s="63"/>
    </row>
    <row r="769">
      <c r="I769" s="64"/>
      <c r="N769" s="63"/>
    </row>
    <row r="770">
      <c r="I770" s="64"/>
      <c r="N770" s="63"/>
    </row>
    <row r="771">
      <c r="I771" s="64"/>
      <c r="N771" s="63"/>
    </row>
    <row r="772">
      <c r="I772" s="64"/>
      <c r="N772" s="63"/>
    </row>
    <row r="773">
      <c r="I773" s="64"/>
      <c r="N773" s="63"/>
    </row>
    <row r="774">
      <c r="I774" s="64"/>
      <c r="N774" s="63"/>
    </row>
    <row r="775">
      <c r="I775" s="64"/>
      <c r="N775" s="63"/>
    </row>
    <row r="776">
      <c r="I776" s="64"/>
      <c r="N776" s="63"/>
    </row>
    <row r="777">
      <c r="I777" s="64"/>
      <c r="N777" s="63"/>
    </row>
    <row r="778">
      <c r="I778" s="64"/>
      <c r="N778" s="63"/>
    </row>
    <row r="779">
      <c r="I779" s="64"/>
      <c r="N779" s="63"/>
    </row>
    <row r="780">
      <c r="I780" s="64"/>
      <c r="N780" s="63"/>
    </row>
    <row r="781">
      <c r="I781" s="64"/>
      <c r="N781" s="63"/>
    </row>
    <row r="782">
      <c r="I782" s="64"/>
      <c r="N782" s="63"/>
    </row>
    <row r="783">
      <c r="I783" s="64"/>
      <c r="N783" s="63"/>
    </row>
    <row r="784">
      <c r="I784" s="64"/>
      <c r="N784" s="63"/>
    </row>
    <row r="785">
      <c r="I785" s="64"/>
      <c r="N785" s="63"/>
    </row>
    <row r="786">
      <c r="I786" s="64"/>
      <c r="N786" s="63"/>
    </row>
    <row r="787">
      <c r="I787" s="64"/>
      <c r="N787" s="63"/>
    </row>
    <row r="788">
      <c r="I788" s="64"/>
      <c r="N788" s="63"/>
    </row>
    <row r="789">
      <c r="I789" s="64"/>
      <c r="N789" s="63"/>
    </row>
    <row r="790">
      <c r="I790" s="64"/>
      <c r="N790" s="63"/>
    </row>
    <row r="791">
      <c r="I791" s="64"/>
      <c r="N791" s="63"/>
    </row>
    <row r="792">
      <c r="I792" s="64"/>
      <c r="N792" s="63"/>
    </row>
    <row r="793">
      <c r="I793" s="64"/>
      <c r="N793" s="63"/>
    </row>
    <row r="794">
      <c r="I794" s="64"/>
      <c r="N794" s="63"/>
    </row>
    <row r="795">
      <c r="I795" s="64"/>
      <c r="N795" s="63"/>
    </row>
    <row r="796">
      <c r="I796" s="64"/>
      <c r="N796" s="63"/>
    </row>
    <row r="797">
      <c r="I797" s="64"/>
      <c r="N797" s="63"/>
    </row>
    <row r="798">
      <c r="I798" s="64"/>
      <c r="N798" s="63"/>
    </row>
    <row r="799">
      <c r="I799" s="64"/>
      <c r="N799" s="63"/>
    </row>
    <row r="800">
      <c r="I800" s="64"/>
      <c r="N800" s="63"/>
    </row>
    <row r="801">
      <c r="I801" s="64"/>
      <c r="N801" s="63"/>
    </row>
    <row r="802">
      <c r="I802" s="64"/>
      <c r="N802" s="63"/>
    </row>
    <row r="803">
      <c r="I803" s="64"/>
      <c r="N803" s="63"/>
    </row>
    <row r="804">
      <c r="I804" s="64"/>
      <c r="N804" s="63"/>
    </row>
    <row r="805">
      <c r="I805" s="64"/>
      <c r="N805" s="63"/>
    </row>
    <row r="806">
      <c r="I806" s="64"/>
      <c r="N806" s="63"/>
    </row>
    <row r="807">
      <c r="I807" s="64"/>
      <c r="N807" s="63"/>
    </row>
    <row r="808">
      <c r="I808" s="64"/>
      <c r="N808" s="63"/>
    </row>
    <row r="809">
      <c r="I809" s="64"/>
      <c r="N809" s="63"/>
    </row>
    <row r="810">
      <c r="I810" s="64"/>
      <c r="N810" s="63"/>
    </row>
    <row r="811">
      <c r="I811" s="64"/>
      <c r="N811" s="63"/>
    </row>
    <row r="812">
      <c r="I812" s="64"/>
      <c r="N812" s="63"/>
    </row>
    <row r="813">
      <c r="I813" s="64"/>
      <c r="N813" s="63"/>
    </row>
    <row r="814">
      <c r="I814" s="64"/>
      <c r="N814" s="63"/>
    </row>
    <row r="815">
      <c r="I815" s="64"/>
      <c r="N815" s="63"/>
    </row>
    <row r="816">
      <c r="I816" s="64"/>
      <c r="N816" s="63"/>
    </row>
    <row r="817">
      <c r="I817" s="64"/>
      <c r="N817" s="63"/>
    </row>
    <row r="818">
      <c r="I818" s="64"/>
      <c r="N818" s="63"/>
    </row>
    <row r="819">
      <c r="I819" s="64"/>
      <c r="N819" s="63"/>
    </row>
    <row r="820">
      <c r="I820" s="64"/>
      <c r="N820" s="63"/>
    </row>
    <row r="821">
      <c r="I821" s="64"/>
      <c r="N821" s="63"/>
    </row>
    <row r="822">
      <c r="I822" s="64"/>
      <c r="N822" s="63"/>
    </row>
    <row r="823">
      <c r="I823" s="64"/>
      <c r="N823" s="63"/>
    </row>
    <row r="824">
      <c r="I824" s="64"/>
      <c r="N824" s="63"/>
    </row>
    <row r="825">
      <c r="I825" s="64"/>
      <c r="N825" s="63"/>
    </row>
    <row r="826">
      <c r="I826" s="64"/>
      <c r="N826" s="63"/>
    </row>
    <row r="827">
      <c r="I827" s="64"/>
      <c r="N827" s="63"/>
    </row>
    <row r="828">
      <c r="I828" s="64"/>
      <c r="N828" s="63"/>
    </row>
    <row r="829">
      <c r="I829" s="64"/>
      <c r="N829" s="63"/>
    </row>
    <row r="830">
      <c r="I830" s="64"/>
      <c r="N830" s="63"/>
    </row>
    <row r="831">
      <c r="I831" s="64"/>
      <c r="N831" s="63"/>
    </row>
    <row r="832">
      <c r="I832" s="64"/>
      <c r="N832" s="63"/>
    </row>
    <row r="833">
      <c r="I833" s="64"/>
      <c r="N833" s="63"/>
    </row>
    <row r="834">
      <c r="I834" s="64"/>
      <c r="N834" s="63"/>
    </row>
    <row r="835">
      <c r="I835" s="64"/>
      <c r="N835" s="63"/>
    </row>
    <row r="836">
      <c r="I836" s="64"/>
      <c r="N836" s="63"/>
    </row>
    <row r="837">
      <c r="I837" s="64"/>
      <c r="N837" s="63"/>
    </row>
    <row r="838">
      <c r="I838" s="64"/>
      <c r="N838" s="63"/>
    </row>
    <row r="839">
      <c r="I839" s="64"/>
      <c r="N839" s="63"/>
    </row>
    <row r="840">
      <c r="I840" s="64"/>
      <c r="N840" s="63"/>
    </row>
    <row r="841">
      <c r="I841" s="64"/>
      <c r="N841" s="63"/>
    </row>
    <row r="842">
      <c r="I842" s="64"/>
      <c r="N842" s="63"/>
    </row>
    <row r="843">
      <c r="I843" s="64"/>
      <c r="N843" s="63"/>
    </row>
    <row r="844">
      <c r="I844" s="64"/>
      <c r="N844" s="63"/>
    </row>
    <row r="845">
      <c r="I845" s="64"/>
      <c r="N845" s="63"/>
    </row>
    <row r="846">
      <c r="I846" s="64"/>
      <c r="N846" s="63"/>
    </row>
    <row r="847">
      <c r="I847" s="64"/>
      <c r="N847" s="63"/>
    </row>
    <row r="848">
      <c r="I848" s="64"/>
      <c r="N848" s="63"/>
    </row>
    <row r="849">
      <c r="I849" s="64"/>
      <c r="N849" s="63"/>
    </row>
    <row r="850">
      <c r="I850" s="64"/>
      <c r="N850" s="63"/>
    </row>
    <row r="851">
      <c r="I851" s="64"/>
      <c r="N851" s="63"/>
    </row>
    <row r="852">
      <c r="I852" s="64"/>
      <c r="N852" s="63"/>
    </row>
    <row r="853">
      <c r="I853" s="64"/>
      <c r="N853" s="63"/>
    </row>
    <row r="854">
      <c r="I854" s="64"/>
      <c r="N854" s="63"/>
    </row>
    <row r="855">
      <c r="I855" s="64"/>
      <c r="N855" s="63"/>
    </row>
    <row r="856">
      <c r="I856" s="64"/>
      <c r="N856" s="63"/>
    </row>
    <row r="857">
      <c r="I857" s="64"/>
      <c r="N857" s="63"/>
    </row>
    <row r="858">
      <c r="I858" s="64"/>
      <c r="N858" s="63"/>
    </row>
    <row r="859">
      <c r="I859" s="64"/>
      <c r="N859" s="63"/>
    </row>
    <row r="860">
      <c r="I860" s="64"/>
      <c r="N860" s="63"/>
    </row>
    <row r="861">
      <c r="I861" s="64"/>
      <c r="N861" s="63"/>
    </row>
    <row r="862">
      <c r="I862" s="64"/>
      <c r="N862" s="63"/>
    </row>
    <row r="863">
      <c r="I863" s="64"/>
      <c r="N863" s="63"/>
    </row>
    <row r="864">
      <c r="I864" s="64"/>
      <c r="N864" s="63"/>
    </row>
    <row r="865">
      <c r="I865" s="64"/>
      <c r="N865" s="63"/>
    </row>
    <row r="866">
      <c r="I866" s="64"/>
      <c r="N866" s="63"/>
    </row>
    <row r="867">
      <c r="I867" s="64"/>
      <c r="N867" s="63"/>
    </row>
    <row r="868">
      <c r="I868" s="64"/>
      <c r="N868" s="63"/>
    </row>
    <row r="869">
      <c r="I869" s="64"/>
      <c r="N869" s="63"/>
    </row>
    <row r="870">
      <c r="I870" s="64"/>
      <c r="N870" s="63"/>
    </row>
    <row r="871">
      <c r="I871" s="64"/>
      <c r="N871" s="63"/>
    </row>
    <row r="872">
      <c r="I872" s="64"/>
      <c r="N872" s="63"/>
    </row>
    <row r="873">
      <c r="I873" s="64"/>
      <c r="N873" s="63"/>
    </row>
    <row r="874">
      <c r="I874" s="64"/>
      <c r="N874" s="63"/>
    </row>
    <row r="875">
      <c r="I875" s="64"/>
      <c r="N875" s="63"/>
    </row>
    <row r="876">
      <c r="I876" s="64"/>
      <c r="N876" s="63"/>
    </row>
    <row r="877">
      <c r="I877" s="64"/>
      <c r="N877" s="63"/>
    </row>
    <row r="878">
      <c r="I878" s="64"/>
      <c r="N878" s="63"/>
    </row>
    <row r="879">
      <c r="I879" s="64"/>
      <c r="N879" s="63"/>
    </row>
    <row r="880">
      <c r="I880" s="64"/>
      <c r="N880" s="63"/>
    </row>
    <row r="881">
      <c r="I881" s="64"/>
      <c r="N881" s="63"/>
    </row>
    <row r="882">
      <c r="I882" s="64"/>
      <c r="N882" s="63"/>
    </row>
    <row r="883">
      <c r="I883" s="64"/>
      <c r="N883" s="63"/>
    </row>
    <row r="884">
      <c r="I884" s="64"/>
      <c r="N884" s="63"/>
    </row>
    <row r="885">
      <c r="I885" s="64"/>
      <c r="N885" s="63"/>
    </row>
    <row r="886">
      <c r="I886" s="64"/>
      <c r="N886" s="63"/>
    </row>
    <row r="887">
      <c r="I887" s="64"/>
      <c r="N887" s="63"/>
    </row>
    <row r="888">
      <c r="I888" s="64"/>
      <c r="N888" s="63"/>
    </row>
    <row r="889">
      <c r="I889" s="64"/>
      <c r="N889" s="63"/>
    </row>
    <row r="890">
      <c r="I890" s="64"/>
      <c r="N890" s="63"/>
    </row>
    <row r="891">
      <c r="I891" s="64"/>
      <c r="N891" s="63"/>
    </row>
    <row r="892">
      <c r="I892" s="64"/>
      <c r="N892" s="63"/>
    </row>
    <row r="893">
      <c r="I893" s="64"/>
      <c r="N893" s="63"/>
    </row>
    <row r="894">
      <c r="I894" s="64"/>
      <c r="N894" s="63"/>
    </row>
    <row r="895">
      <c r="I895" s="64"/>
      <c r="N895" s="63"/>
    </row>
    <row r="896">
      <c r="I896" s="64"/>
      <c r="N896" s="63"/>
    </row>
    <row r="897">
      <c r="I897" s="64"/>
      <c r="N897" s="63"/>
    </row>
    <row r="898">
      <c r="I898" s="64"/>
      <c r="N898" s="63"/>
    </row>
    <row r="899">
      <c r="I899" s="64"/>
      <c r="N899" s="63"/>
    </row>
    <row r="900">
      <c r="I900" s="64"/>
      <c r="N900" s="63"/>
    </row>
    <row r="901">
      <c r="I901" s="64"/>
      <c r="N901" s="63"/>
    </row>
    <row r="902">
      <c r="I902" s="64"/>
      <c r="N902" s="63"/>
    </row>
    <row r="903">
      <c r="I903" s="64"/>
      <c r="N903" s="63"/>
    </row>
    <row r="904">
      <c r="I904" s="64"/>
      <c r="N904" s="63"/>
    </row>
    <row r="905">
      <c r="I905" s="64"/>
      <c r="N905" s="63"/>
    </row>
    <row r="906">
      <c r="I906" s="64"/>
      <c r="N906" s="63"/>
    </row>
    <row r="907">
      <c r="I907" s="64"/>
      <c r="N907" s="63"/>
    </row>
    <row r="908">
      <c r="I908" s="64"/>
      <c r="N908" s="63"/>
    </row>
    <row r="909">
      <c r="I909" s="64"/>
      <c r="N909" s="63"/>
    </row>
    <row r="910">
      <c r="I910" s="64"/>
      <c r="N910" s="63"/>
    </row>
    <row r="911">
      <c r="I911" s="64"/>
      <c r="N911" s="63"/>
    </row>
    <row r="912">
      <c r="I912" s="64"/>
      <c r="N912" s="63"/>
    </row>
    <row r="913">
      <c r="I913" s="64"/>
      <c r="N913" s="63"/>
    </row>
    <row r="914">
      <c r="I914" s="64"/>
      <c r="N914" s="63"/>
    </row>
    <row r="915">
      <c r="I915" s="64"/>
      <c r="N915" s="63"/>
    </row>
    <row r="916">
      <c r="I916" s="64"/>
      <c r="N916" s="63"/>
    </row>
    <row r="917">
      <c r="I917" s="64"/>
      <c r="N917" s="63"/>
    </row>
    <row r="918">
      <c r="I918" s="64"/>
      <c r="N918" s="63"/>
    </row>
    <row r="919">
      <c r="I919" s="64"/>
      <c r="N919" s="63"/>
    </row>
    <row r="920">
      <c r="I920" s="64"/>
      <c r="N920" s="63"/>
    </row>
    <row r="921">
      <c r="I921" s="64"/>
      <c r="N921" s="63"/>
    </row>
    <row r="922">
      <c r="I922" s="64"/>
      <c r="N922" s="63"/>
    </row>
    <row r="923">
      <c r="I923" s="64"/>
      <c r="N923" s="63"/>
    </row>
    <row r="924">
      <c r="I924" s="64"/>
      <c r="N924" s="63"/>
    </row>
    <row r="925">
      <c r="I925" s="64"/>
      <c r="N925" s="63"/>
    </row>
    <row r="926">
      <c r="I926" s="64"/>
      <c r="N926" s="63"/>
    </row>
    <row r="927">
      <c r="I927" s="64"/>
      <c r="N927" s="63"/>
    </row>
    <row r="928">
      <c r="I928" s="64"/>
      <c r="N928" s="63"/>
    </row>
    <row r="929">
      <c r="I929" s="64"/>
      <c r="N929" s="63"/>
    </row>
    <row r="930">
      <c r="I930" s="64"/>
      <c r="N930" s="63"/>
    </row>
    <row r="931">
      <c r="I931" s="64"/>
      <c r="N931" s="63"/>
    </row>
    <row r="932">
      <c r="I932" s="64"/>
      <c r="N932" s="63"/>
    </row>
    <row r="933">
      <c r="I933" s="64"/>
      <c r="N933" s="63"/>
    </row>
    <row r="934">
      <c r="I934" s="64"/>
      <c r="N934" s="63"/>
    </row>
    <row r="935">
      <c r="I935" s="64"/>
      <c r="N935" s="63"/>
    </row>
    <row r="936">
      <c r="I936" s="64"/>
      <c r="N936" s="63"/>
    </row>
    <row r="937">
      <c r="I937" s="64"/>
      <c r="N937" s="63"/>
    </row>
    <row r="938">
      <c r="I938" s="64"/>
      <c r="N938" s="63"/>
    </row>
    <row r="939">
      <c r="I939" s="64"/>
      <c r="N939" s="63"/>
    </row>
    <row r="940">
      <c r="I940" s="64"/>
      <c r="N940" s="63"/>
    </row>
    <row r="941">
      <c r="I941" s="64"/>
      <c r="N941" s="63"/>
    </row>
    <row r="942">
      <c r="I942" s="64"/>
      <c r="N942" s="63"/>
    </row>
    <row r="943">
      <c r="I943" s="64"/>
      <c r="N943" s="63"/>
    </row>
    <row r="944">
      <c r="I944" s="64"/>
      <c r="N944" s="63"/>
    </row>
    <row r="945">
      <c r="I945" s="64"/>
      <c r="N945" s="63"/>
    </row>
    <row r="946">
      <c r="I946" s="64"/>
      <c r="N946" s="63"/>
    </row>
    <row r="947">
      <c r="I947" s="64"/>
      <c r="N947" s="63"/>
    </row>
    <row r="948">
      <c r="I948" s="64"/>
      <c r="N948" s="63"/>
    </row>
    <row r="949">
      <c r="I949" s="64"/>
      <c r="N949" s="63"/>
    </row>
    <row r="950">
      <c r="I950" s="64"/>
      <c r="N950" s="63"/>
    </row>
    <row r="951">
      <c r="I951" s="64"/>
      <c r="N951" s="63"/>
    </row>
    <row r="952">
      <c r="I952" s="64"/>
      <c r="N952" s="63"/>
    </row>
    <row r="953">
      <c r="I953" s="64"/>
      <c r="N953" s="63"/>
    </row>
    <row r="954">
      <c r="I954" s="64"/>
      <c r="N954" s="63"/>
    </row>
    <row r="955">
      <c r="I955" s="64"/>
      <c r="N955" s="63"/>
    </row>
    <row r="956">
      <c r="I956" s="64"/>
      <c r="N956" s="63"/>
    </row>
    <row r="957">
      <c r="I957" s="64"/>
      <c r="N957" s="63"/>
    </row>
    <row r="958">
      <c r="I958" s="64"/>
      <c r="N958" s="63"/>
    </row>
    <row r="959">
      <c r="I959" s="64"/>
      <c r="N959" s="63"/>
    </row>
    <row r="960">
      <c r="I960" s="64"/>
      <c r="N960" s="63"/>
    </row>
    <row r="961">
      <c r="I961" s="64"/>
      <c r="N961" s="63"/>
    </row>
    <row r="962">
      <c r="I962" s="64"/>
      <c r="N962" s="63"/>
    </row>
    <row r="963">
      <c r="I963" s="64"/>
      <c r="N963" s="63"/>
    </row>
    <row r="964">
      <c r="I964" s="64"/>
      <c r="N964" s="63"/>
    </row>
    <row r="965">
      <c r="I965" s="64"/>
      <c r="N965" s="63"/>
    </row>
    <row r="966">
      <c r="I966" s="64"/>
      <c r="N966" s="63"/>
    </row>
    <row r="967">
      <c r="I967" s="64"/>
      <c r="N967" s="63"/>
    </row>
    <row r="968">
      <c r="I968" s="64"/>
      <c r="N968" s="63"/>
    </row>
    <row r="969">
      <c r="I969" s="64"/>
      <c r="N969" s="63"/>
    </row>
    <row r="970">
      <c r="I970" s="64"/>
      <c r="N970" s="63"/>
    </row>
    <row r="971">
      <c r="I971" s="64"/>
      <c r="N971" s="63"/>
    </row>
    <row r="972">
      <c r="I972" s="64"/>
      <c r="N972" s="63"/>
    </row>
    <row r="973">
      <c r="I973" s="64"/>
      <c r="N973" s="63"/>
    </row>
    <row r="974">
      <c r="I974" s="64"/>
      <c r="N974" s="63"/>
    </row>
    <row r="975">
      <c r="I975" s="64"/>
      <c r="N975" s="63"/>
    </row>
    <row r="976">
      <c r="I976" s="64"/>
      <c r="N976" s="63"/>
    </row>
    <row r="977">
      <c r="I977" s="64"/>
      <c r="N977" s="63"/>
    </row>
    <row r="978">
      <c r="I978" s="64"/>
      <c r="N978" s="63"/>
    </row>
    <row r="979">
      <c r="I979" s="64"/>
      <c r="N979" s="63"/>
    </row>
    <row r="980">
      <c r="I980" s="64"/>
      <c r="N980" s="63"/>
    </row>
    <row r="981">
      <c r="I981" s="64"/>
      <c r="N981" s="63"/>
    </row>
    <row r="982">
      <c r="I982" s="64"/>
      <c r="N982" s="63"/>
    </row>
    <row r="983">
      <c r="I983" s="64"/>
      <c r="N983" s="63"/>
    </row>
    <row r="984">
      <c r="I984" s="64"/>
      <c r="N984" s="63"/>
    </row>
    <row r="985">
      <c r="I985" s="64"/>
      <c r="N985" s="63"/>
    </row>
    <row r="986">
      <c r="I986" s="64"/>
      <c r="N986" s="63"/>
    </row>
    <row r="987">
      <c r="I987" s="64"/>
      <c r="N987" s="63"/>
    </row>
    <row r="988">
      <c r="I988" s="64"/>
      <c r="N988" s="63"/>
    </row>
    <row r="989">
      <c r="I989" s="64"/>
      <c r="N989" s="63"/>
    </row>
    <row r="990">
      <c r="I990" s="64"/>
      <c r="N990" s="63"/>
    </row>
    <row r="991">
      <c r="I991" s="64"/>
      <c r="N991" s="63"/>
    </row>
    <row r="992">
      <c r="I992" s="64"/>
      <c r="N992" s="63"/>
    </row>
    <row r="993">
      <c r="I993" s="64"/>
      <c r="N993" s="63"/>
    </row>
    <row r="994">
      <c r="I994" s="64"/>
      <c r="N994" s="63"/>
    </row>
    <row r="995">
      <c r="I995" s="64"/>
      <c r="N995" s="63"/>
    </row>
    <row r="996">
      <c r="I996" s="64"/>
      <c r="N996" s="63"/>
    </row>
    <row r="997">
      <c r="I997" s="64"/>
      <c r="N997" s="63"/>
    </row>
    <row r="998">
      <c r="I998" s="64"/>
      <c r="N998" s="63"/>
    </row>
    <row r="999">
      <c r="I999" s="64"/>
      <c r="N999" s="63"/>
    </row>
    <row r="1000">
      <c r="I1000" s="64"/>
      <c r="N1000" s="63"/>
    </row>
  </sheetData>
  <hyperlinks>
    <hyperlink r:id="rId2" ref="G2"/>
    <hyperlink r:id="rId3" ref="G3"/>
    <hyperlink r:id="rId4" ref="G4"/>
    <hyperlink r:id="rId5" ref="G5"/>
    <hyperlink r:id="rId6" ref="G6"/>
    <hyperlink r:id="rId7" ref="G7"/>
  </hyperlinks>
  <drawing r:id="rId8"/>
  <legacy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25.25"/>
    <col customWidth="1" min="3" max="3" width="19.13"/>
    <col customWidth="1" min="5" max="5" width="49.38"/>
  </cols>
  <sheetData>
    <row r="1">
      <c r="A1" s="6" t="s">
        <v>475</v>
      </c>
      <c r="B1" s="88" t="s">
        <v>476</v>
      </c>
      <c r="C1" s="6" t="s">
        <v>477</v>
      </c>
      <c r="D1" s="6" t="s">
        <v>37</v>
      </c>
      <c r="E1" s="88" t="s">
        <v>478</v>
      </c>
      <c r="F1" s="6" t="s">
        <v>479</v>
      </c>
      <c r="G1" s="6"/>
      <c r="H1" s="6"/>
      <c r="I1" s="6"/>
      <c r="J1" s="6"/>
      <c r="K1" s="6"/>
    </row>
    <row r="2">
      <c r="E2" s="79"/>
      <c r="F2" s="13"/>
    </row>
    <row r="3">
      <c r="A3" s="13"/>
      <c r="D3" s="24"/>
      <c r="E3" s="13"/>
      <c r="J3" s="89" t="s">
        <v>480</v>
      </c>
      <c r="N3" s="89"/>
    </row>
    <row r="4">
      <c r="A4" s="13" t="s">
        <v>481</v>
      </c>
      <c r="B4" s="20"/>
      <c r="D4" s="24">
        <v>0.39</v>
      </c>
      <c r="E4" s="20" t="s">
        <v>482</v>
      </c>
      <c r="F4" s="90">
        <v>45975.0</v>
      </c>
      <c r="J4" s="13" t="s">
        <v>483</v>
      </c>
    </row>
    <row r="5">
      <c r="A5" s="13" t="s">
        <v>484</v>
      </c>
      <c r="B5" s="20"/>
      <c r="D5" s="24">
        <v>0.1</v>
      </c>
      <c r="E5" s="20" t="s">
        <v>485</v>
      </c>
      <c r="J5" s="13"/>
    </row>
    <row r="6">
      <c r="A6" s="13" t="s">
        <v>486</v>
      </c>
      <c r="D6" s="24">
        <v>0.01</v>
      </c>
      <c r="E6" s="20" t="s">
        <v>487</v>
      </c>
      <c r="J6" s="13" t="s">
        <v>488</v>
      </c>
    </row>
    <row r="7">
      <c r="A7" s="13" t="s">
        <v>489</v>
      </c>
      <c r="D7" s="24">
        <v>0.5</v>
      </c>
      <c r="E7" s="20" t="s">
        <v>490</v>
      </c>
      <c r="J7" s="13" t="s">
        <v>491</v>
      </c>
    </row>
    <row r="8">
      <c r="B8" s="20"/>
      <c r="C8" s="20"/>
      <c r="E8" s="79"/>
    </row>
    <row r="9">
      <c r="B9" s="20"/>
      <c r="E9" s="79"/>
    </row>
    <row r="10">
      <c r="B10" s="20"/>
      <c r="E10" s="79"/>
      <c r="J10" s="89" t="s">
        <v>492</v>
      </c>
    </row>
    <row r="11">
      <c r="B11" s="20"/>
      <c r="E11" s="79"/>
      <c r="J11" s="13" t="s">
        <v>493</v>
      </c>
    </row>
    <row r="12">
      <c r="B12" s="11"/>
      <c r="E12" s="79"/>
      <c r="K12" s="13" t="s">
        <v>494</v>
      </c>
    </row>
    <row r="13">
      <c r="B13" s="11"/>
      <c r="E13" s="79"/>
      <c r="K13" s="13" t="s">
        <v>495</v>
      </c>
    </row>
    <row r="14">
      <c r="B14" s="11"/>
      <c r="E14" s="79"/>
      <c r="J14" s="13" t="s">
        <v>496</v>
      </c>
    </row>
    <row r="15">
      <c r="E15" s="79"/>
      <c r="K15" s="13" t="s">
        <v>497</v>
      </c>
    </row>
    <row r="16">
      <c r="B16" s="11"/>
      <c r="D16" s="24"/>
      <c r="E16" s="79"/>
      <c r="K16" s="13" t="s">
        <v>480</v>
      </c>
    </row>
    <row r="17">
      <c r="E17" s="79"/>
      <c r="K17" s="13" t="s">
        <v>498</v>
      </c>
      <c r="M17" s="89"/>
    </row>
    <row r="18">
      <c r="E18" s="79"/>
      <c r="K18" s="63"/>
      <c r="L18" s="20"/>
    </row>
    <row r="19">
      <c r="E19" s="79"/>
      <c r="K19" s="63"/>
      <c r="L19" s="20"/>
    </row>
    <row r="20">
      <c r="E20" s="79"/>
      <c r="K20" s="63"/>
      <c r="L20" s="20"/>
    </row>
    <row r="21">
      <c r="E21" s="79"/>
      <c r="K21" s="63"/>
      <c r="L21" s="79"/>
    </row>
    <row r="22">
      <c r="E22" s="79"/>
      <c r="K22" s="63"/>
      <c r="L22" s="79"/>
    </row>
    <row r="23">
      <c r="E23" s="79"/>
      <c r="K23" s="63"/>
      <c r="L23" s="79"/>
    </row>
    <row r="24">
      <c r="E24" s="79"/>
      <c r="K24" s="63"/>
      <c r="L24" s="79"/>
    </row>
    <row r="25">
      <c r="E25" s="79"/>
      <c r="K25" s="63"/>
      <c r="L25" s="79"/>
    </row>
    <row r="26">
      <c r="E26" s="79"/>
      <c r="K26" s="63"/>
      <c r="L26" s="79"/>
    </row>
    <row r="27">
      <c r="E27" s="79"/>
    </row>
    <row r="28">
      <c r="E28" s="79"/>
    </row>
    <row r="29">
      <c r="E29" s="79"/>
    </row>
    <row r="30">
      <c r="E30" s="79"/>
    </row>
    <row r="31">
      <c r="B31" s="79"/>
      <c r="E31" s="79"/>
    </row>
    <row r="32">
      <c r="B32" s="79"/>
      <c r="E32" s="79"/>
    </row>
    <row r="33">
      <c r="B33" s="79"/>
      <c r="E33" s="79"/>
    </row>
    <row r="34">
      <c r="B34" s="79"/>
      <c r="E34" s="79"/>
    </row>
    <row r="35">
      <c r="B35" s="79"/>
      <c r="E35" s="79"/>
    </row>
    <row r="36">
      <c r="B36" s="79"/>
      <c r="E36" s="79"/>
    </row>
    <row r="37">
      <c r="B37" s="79"/>
      <c r="E37" s="79"/>
    </row>
    <row r="38">
      <c r="B38" s="79"/>
      <c r="E38" s="79"/>
    </row>
    <row r="39">
      <c r="B39" s="79"/>
      <c r="E39" s="79"/>
    </row>
    <row r="40">
      <c r="B40" s="79"/>
      <c r="E40" s="79"/>
    </row>
    <row r="41">
      <c r="B41" s="79"/>
      <c r="E41" s="79"/>
    </row>
    <row r="42">
      <c r="B42" s="79"/>
      <c r="E42" s="79"/>
    </row>
    <row r="43">
      <c r="B43" s="79"/>
      <c r="E43" s="79"/>
    </row>
    <row r="44">
      <c r="B44" s="79"/>
      <c r="E44" s="79"/>
    </row>
    <row r="45">
      <c r="B45" s="79"/>
      <c r="E45" s="79"/>
    </row>
    <row r="46">
      <c r="B46" s="79"/>
      <c r="E46" s="79"/>
    </row>
    <row r="47">
      <c r="B47" s="79"/>
      <c r="E47" s="79"/>
    </row>
    <row r="48">
      <c r="B48" s="79"/>
      <c r="E48" s="79"/>
    </row>
    <row r="49">
      <c r="B49" s="79"/>
      <c r="E49" s="79"/>
    </row>
    <row r="50">
      <c r="B50" s="79"/>
      <c r="E50" s="79"/>
    </row>
    <row r="51">
      <c r="B51" s="79"/>
      <c r="E51" s="79"/>
    </row>
    <row r="52">
      <c r="B52" s="79"/>
      <c r="E52" s="79"/>
    </row>
    <row r="53">
      <c r="B53" s="79"/>
      <c r="E53" s="79"/>
    </row>
    <row r="54">
      <c r="B54" s="79"/>
      <c r="E54" s="79"/>
    </row>
    <row r="55">
      <c r="B55" s="79"/>
      <c r="E55" s="79"/>
    </row>
    <row r="56">
      <c r="B56" s="79"/>
      <c r="E56" s="79"/>
    </row>
    <row r="57">
      <c r="B57" s="79"/>
      <c r="E57" s="79"/>
    </row>
    <row r="58">
      <c r="B58" s="79"/>
      <c r="E58" s="79"/>
    </row>
    <row r="59">
      <c r="B59" s="79"/>
      <c r="E59" s="79"/>
    </row>
    <row r="60">
      <c r="B60" s="79"/>
      <c r="E60" s="79"/>
    </row>
    <row r="61">
      <c r="B61" s="79"/>
      <c r="E61" s="79"/>
    </row>
    <row r="62">
      <c r="B62" s="79"/>
      <c r="E62" s="79"/>
    </row>
    <row r="63">
      <c r="B63" s="79"/>
      <c r="E63" s="79"/>
    </row>
    <row r="64">
      <c r="B64" s="79"/>
      <c r="E64" s="79"/>
    </row>
    <row r="65">
      <c r="B65" s="79"/>
      <c r="E65" s="79"/>
    </row>
    <row r="66">
      <c r="B66" s="79"/>
      <c r="E66" s="79"/>
    </row>
    <row r="67">
      <c r="B67" s="79"/>
      <c r="E67" s="79"/>
    </row>
    <row r="68">
      <c r="B68" s="79"/>
      <c r="E68" s="79"/>
    </row>
    <row r="69">
      <c r="B69" s="79"/>
      <c r="E69" s="79"/>
    </row>
    <row r="70">
      <c r="B70" s="79"/>
      <c r="E70" s="79"/>
    </row>
    <row r="71">
      <c r="B71" s="79"/>
      <c r="E71" s="79"/>
    </row>
    <row r="72">
      <c r="B72" s="79"/>
      <c r="E72" s="79"/>
    </row>
    <row r="73">
      <c r="B73" s="79"/>
      <c r="E73" s="79"/>
    </row>
    <row r="74">
      <c r="B74" s="79"/>
      <c r="E74" s="79"/>
    </row>
    <row r="75">
      <c r="B75" s="79"/>
      <c r="E75" s="79"/>
    </row>
    <row r="76">
      <c r="B76" s="79"/>
      <c r="E76" s="79"/>
    </row>
    <row r="77">
      <c r="B77" s="79"/>
      <c r="E77" s="79"/>
    </row>
    <row r="78">
      <c r="B78" s="79"/>
      <c r="E78" s="79"/>
    </row>
    <row r="79">
      <c r="B79" s="79"/>
      <c r="E79" s="79"/>
    </row>
    <row r="80">
      <c r="B80" s="79"/>
      <c r="E80" s="79"/>
    </row>
    <row r="81">
      <c r="B81" s="79"/>
      <c r="E81" s="79"/>
    </row>
    <row r="82">
      <c r="B82" s="79"/>
      <c r="E82" s="79"/>
    </row>
    <row r="83">
      <c r="B83" s="79"/>
      <c r="E83" s="79"/>
    </row>
    <row r="84">
      <c r="B84" s="79"/>
      <c r="E84" s="79"/>
    </row>
    <row r="85">
      <c r="B85" s="79"/>
      <c r="E85" s="79"/>
    </row>
    <row r="86">
      <c r="B86" s="79"/>
      <c r="E86" s="79"/>
    </row>
    <row r="87">
      <c r="B87" s="79"/>
      <c r="E87" s="79"/>
    </row>
    <row r="88">
      <c r="B88" s="79"/>
      <c r="E88" s="79"/>
    </row>
    <row r="89">
      <c r="B89" s="79"/>
      <c r="E89" s="79"/>
    </row>
    <row r="90">
      <c r="B90" s="79"/>
      <c r="E90" s="79"/>
    </row>
    <row r="91">
      <c r="B91" s="79"/>
      <c r="E91" s="79"/>
    </row>
    <row r="92">
      <c r="B92" s="79"/>
      <c r="E92" s="79"/>
    </row>
    <row r="93">
      <c r="B93" s="79"/>
      <c r="E93" s="79"/>
    </row>
    <row r="94">
      <c r="B94" s="79"/>
      <c r="E94" s="79"/>
    </row>
    <row r="95">
      <c r="B95" s="79"/>
      <c r="E95" s="79"/>
    </row>
    <row r="96">
      <c r="B96" s="79"/>
      <c r="E96" s="79"/>
    </row>
    <row r="97">
      <c r="B97" s="79"/>
      <c r="E97" s="79"/>
    </row>
    <row r="98">
      <c r="B98" s="79"/>
      <c r="E98" s="79"/>
    </row>
    <row r="99">
      <c r="B99" s="79"/>
      <c r="E99" s="79"/>
    </row>
    <row r="100">
      <c r="B100" s="79"/>
      <c r="E100" s="79"/>
    </row>
    <row r="101">
      <c r="B101" s="79"/>
      <c r="E101" s="79"/>
    </row>
    <row r="102">
      <c r="B102" s="79"/>
      <c r="E102" s="79"/>
    </row>
    <row r="103">
      <c r="B103" s="79"/>
      <c r="E103" s="79"/>
    </row>
    <row r="104">
      <c r="B104" s="79"/>
      <c r="E104" s="79"/>
    </row>
    <row r="105">
      <c r="B105" s="79"/>
      <c r="E105" s="79"/>
    </row>
    <row r="106">
      <c r="B106" s="79"/>
      <c r="E106" s="79"/>
    </row>
    <row r="107">
      <c r="B107" s="79"/>
      <c r="E107" s="79"/>
    </row>
    <row r="108">
      <c r="B108" s="79"/>
      <c r="E108" s="79"/>
    </row>
    <row r="109">
      <c r="B109" s="79"/>
      <c r="E109" s="79"/>
    </row>
    <row r="110">
      <c r="B110" s="79"/>
      <c r="E110" s="79"/>
    </row>
    <row r="111">
      <c r="B111" s="79"/>
      <c r="E111" s="79"/>
    </row>
    <row r="112">
      <c r="B112" s="79"/>
      <c r="E112" s="79"/>
    </row>
    <row r="113">
      <c r="B113" s="79"/>
      <c r="E113" s="79"/>
    </row>
    <row r="114">
      <c r="B114" s="79"/>
      <c r="E114" s="79"/>
    </row>
    <row r="115">
      <c r="B115" s="79"/>
      <c r="E115" s="79"/>
    </row>
    <row r="116">
      <c r="B116" s="79"/>
      <c r="E116" s="79"/>
    </row>
    <row r="117">
      <c r="B117" s="79"/>
      <c r="E117" s="79"/>
    </row>
    <row r="118">
      <c r="B118" s="79"/>
      <c r="E118" s="79"/>
    </row>
    <row r="119">
      <c r="B119" s="79"/>
      <c r="E119" s="79"/>
    </row>
    <row r="120">
      <c r="B120" s="79"/>
      <c r="E120" s="79"/>
    </row>
    <row r="121">
      <c r="B121" s="79"/>
      <c r="E121" s="79"/>
    </row>
    <row r="122">
      <c r="B122" s="79"/>
      <c r="E122" s="79"/>
    </row>
    <row r="123">
      <c r="B123" s="79"/>
      <c r="E123" s="79"/>
    </row>
    <row r="124">
      <c r="B124" s="79"/>
      <c r="E124" s="79"/>
    </row>
    <row r="125">
      <c r="B125" s="79"/>
      <c r="E125" s="79"/>
    </row>
    <row r="126">
      <c r="B126" s="79"/>
      <c r="E126" s="79"/>
    </row>
    <row r="127">
      <c r="B127" s="79"/>
      <c r="E127" s="79"/>
    </row>
    <row r="128">
      <c r="B128" s="79"/>
      <c r="E128" s="79"/>
    </row>
    <row r="129">
      <c r="B129" s="79"/>
      <c r="E129" s="79"/>
    </row>
    <row r="130">
      <c r="B130" s="79"/>
      <c r="E130" s="79"/>
    </row>
    <row r="131">
      <c r="B131" s="79"/>
      <c r="E131" s="79"/>
    </row>
    <row r="132">
      <c r="B132" s="79"/>
      <c r="E132" s="79"/>
    </row>
    <row r="133">
      <c r="B133" s="79"/>
      <c r="E133" s="79"/>
    </row>
    <row r="134">
      <c r="B134" s="79"/>
      <c r="E134" s="79"/>
    </row>
    <row r="135">
      <c r="B135" s="79"/>
      <c r="E135" s="79"/>
    </row>
    <row r="136">
      <c r="B136" s="79"/>
      <c r="E136" s="79"/>
    </row>
    <row r="137">
      <c r="B137" s="79"/>
      <c r="E137" s="79"/>
    </row>
    <row r="138">
      <c r="B138" s="79"/>
      <c r="E138" s="79"/>
    </row>
    <row r="139">
      <c r="B139" s="79"/>
      <c r="E139" s="79"/>
    </row>
    <row r="140">
      <c r="B140" s="79"/>
      <c r="E140" s="79"/>
    </row>
    <row r="141">
      <c r="B141" s="79"/>
      <c r="E141" s="79"/>
    </row>
    <row r="142">
      <c r="B142" s="79"/>
      <c r="E142" s="79"/>
    </row>
    <row r="143">
      <c r="B143" s="79"/>
      <c r="E143" s="79"/>
    </row>
    <row r="144">
      <c r="B144" s="79"/>
      <c r="E144" s="79"/>
    </row>
    <row r="145">
      <c r="B145" s="79"/>
      <c r="E145" s="79"/>
    </row>
    <row r="146">
      <c r="B146" s="79"/>
      <c r="E146" s="79"/>
    </row>
    <row r="147">
      <c r="B147" s="79"/>
      <c r="E147" s="79"/>
    </row>
    <row r="148">
      <c r="B148" s="79"/>
      <c r="E148" s="79"/>
    </row>
    <row r="149">
      <c r="B149" s="79"/>
      <c r="E149" s="79"/>
    </row>
    <row r="150">
      <c r="B150" s="79"/>
      <c r="E150" s="79"/>
    </row>
    <row r="151">
      <c r="B151" s="79"/>
      <c r="E151" s="79"/>
    </row>
    <row r="152">
      <c r="B152" s="79"/>
      <c r="E152" s="79"/>
    </row>
    <row r="153">
      <c r="B153" s="79"/>
      <c r="E153" s="79"/>
    </row>
    <row r="154">
      <c r="B154" s="79"/>
      <c r="E154" s="79"/>
    </row>
    <row r="155">
      <c r="B155" s="79"/>
      <c r="E155" s="79"/>
    </row>
    <row r="156">
      <c r="B156" s="79"/>
      <c r="E156" s="79"/>
    </row>
    <row r="157">
      <c r="B157" s="79"/>
      <c r="E157" s="79"/>
    </row>
    <row r="158">
      <c r="B158" s="79"/>
      <c r="E158" s="79"/>
    </row>
    <row r="159">
      <c r="B159" s="79"/>
      <c r="E159" s="79"/>
    </row>
    <row r="160">
      <c r="B160" s="79"/>
      <c r="E160" s="79"/>
    </row>
    <row r="161">
      <c r="B161" s="79"/>
      <c r="E161" s="79"/>
    </row>
    <row r="162">
      <c r="B162" s="79"/>
      <c r="E162" s="79"/>
    </row>
    <row r="163">
      <c r="B163" s="79"/>
      <c r="E163" s="79"/>
    </row>
    <row r="164">
      <c r="B164" s="79"/>
      <c r="E164" s="79"/>
    </row>
    <row r="165">
      <c r="B165" s="79"/>
      <c r="E165" s="79"/>
    </row>
    <row r="166">
      <c r="B166" s="79"/>
      <c r="E166" s="79"/>
    </row>
    <row r="167">
      <c r="B167" s="79"/>
      <c r="E167" s="79"/>
    </row>
    <row r="168">
      <c r="B168" s="79"/>
      <c r="E168" s="79"/>
    </row>
    <row r="169">
      <c r="B169" s="79"/>
      <c r="E169" s="79"/>
    </row>
    <row r="170">
      <c r="B170" s="79"/>
      <c r="E170" s="79"/>
    </row>
    <row r="171">
      <c r="B171" s="79"/>
      <c r="E171" s="79"/>
    </row>
    <row r="172">
      <c r="B172" s="79"/>
      <c r="E172" s="79"/>
    </row>
    <row r="173">
      <c r="B173" s="79"/>
      <c r="E173" s="79"/>
    </row>
    <row r="174">
      <c r="B174" s="79"/>
      <c r="E174" s="79"/>
    </row>
    <row r="175">
      <c r="B175" s="79"/>
      <c r="E175" s="79"/>
    </row>
    <row r="176">
      <c r="B176" s="79"/>
      <c r="E176" s="79"/>
    </row>
    <row r="177">
      <c r="B177" s="79"/>
      <c r="E177" s="79"/>
    </row>
    <row r="178">
      <c r="B178" s="79"/>
      <c r="E178" s="79"/>
    </row>
    <row r="179">
      <c r="B179" s="79"/>
      <c r="E179" s="79"/>
    </row>
    <row r="180">
      <c r="B180" s="79"/>
      <c r="E180" s="79"/>
    </row>
    <row r="181">
      <c r="B181" s="79"/>
      <c r="E181" s="79"/>
    </row>
    <row r="182">
      <c r="B182" s="79"/>
      <c r="E182" s="79"/>
    </row>
    <row r="183">
      <c r="B183" s="79"/>
      <c r="E183" s="79"/>
    </row>
    <row r="184">
      <c r="B184" s="79"/>
      <c r="E184" s="79"/>
    </row>
    <row r="185">
      <c r="B185" s="79"/>
      <c r="E185" s="79"/>
    </row>
    <row r="186">
      <c r="B186" s="79"/>
      <c r="E186" s="79"/>
    </row>
    <row r="187">
      <c r="B187" s="79"/>
      <c r="E187" s="79"/>
    </row>
    <row r="188">
      <c r="B188" s="79"/>
      <c r="E188" s="79"/>
    </row>
    <row r="189">
      <c r="B189" s="79"/>
      <c r="E189" s="79"/>
    </row>
    <row r="190">
      <c r="B190" s="79"/>
      <c r="E190" s="79"/>
    </row>
    <row r="191">
      <c r="B191" s="79"/>
      <c r="E191" s="79"/>
    </row>
    <row r="192">
      <c r="B192" s="79"/>
      <c r="E192" s="79"/>
    </row>
    <row r="193">
      <c r="B193" s="79"/>
      <c r="E193" s="79"/>
    </row>
    <row r="194">
      <c r="B194" s="79"/>
      <c r="E194" s="79"/>
    </row>
    <row r="195">
      <c r="B195" s="79"/>
      <c r="E195" s="79"/>
    </row>
    <row r="196">
      <c r="B196" s="79"/>
      <c r="E196" s="79"/>
    </row>
    <row r="197">
      <c r="B197" s="79"/>
      <c r="E197" s="79"/>
    </row>
    <row r="198">
      <c r="B198" s="79"/>
      <c r="E198" s="79"/>
    </row>
    <row r="199">
      <c r="B199" s="79"/>
      <c r="E199" s="79"/>
    </row>
    <row r="200">
      <c r="B200" s="79"/>
      <c r="E200" s="79"/>
    </row>
    <row r="201">
      <c r="B201" s="79"/>
      <c r="E201" s="79"/>
    </row>
    <row r="202">
      <c r="B202" s="79"/>
      <c r="E202" s="79"/>
    </row>
    <row r="203">
      <c r="B203" s="79"/>
      <c r="E203" s="79"/>
    </row>
    <row r="204">
      <c r="B204" s="79"/>
      <c r="E204" s="79"/>
    </row>
    <row r="205">
      <c r="B205" s="79"/>
      <c r="E205" s="79"/>
    </row>
    <row r="206">
      <c r="B206" s="79"/>
      <c r="E206" s="79"/>
    </row>
    <row r="207">
      <c r="B207" s="79"/>
      <c r="E207" s="79"/>
    </row>
    <row r="208">
      <c r="B208" s="79"/>
      <c r="E208" s="79"/>
    </row>
    <row r="209">
      <c r="B209" s="79"/>
      <c r="E209" s="79"/>
    </row>
    <row r="210">
      <c r="B210" s="79"/>
      <c r="E210" s="79"/>
    </row>
    <row r="211">
      <c r="B211" s="79"/>
      <c r="E211" s="79"/>
    </row>
    <row r="212">
      <c r="B212" s="79"/>
      <c r="E212" s="79"/>
    </row>
    <row r="213">
      <c r="B213" s="79"/>
      <c r="E213" s="79"/>
    </row>
    <row r="214">
      <c r="B214" s="79"/>
      <c r="E214" s="79"/>
    </row>
    <row r="215">
      <c r="B215" s="79"/>
      <c r="E215" s="79"/>
    </row>
    <row r="216">
      <c r="B216" s="79"/>
      <c r="E216" s="79"/>
    </row>
    <row r="217">
      <c r="B217" s="79"/>
      <c r="E217" s="79"/>
    </row>
    <row r="218">
      <c r="B218" s="79"/>
      <c r="E218" s="79"/>
    </row>
    <row r="219">
      <c r="B219" s="79"/>
      <c r="E219" s="79"/>
    </row>
    <row r="220">
      <c r="B220" s="79"/>
      <c r="E220" s="79"/>
    </row>
    <row r="221">
      <c r="B221" s="79"/>
      <c r="E221" s="79"/>
    </row>
    <row r="222">
      <c r="B222" s="79"/>
      <c r="E222" s="79"/>
    </row>
    <row r="223">
      <c r="B223" s="79"/>
      <c r="E223" s="79"/>
    </row>
    <row r="224">
      <c r="B224" s="79"/>
      <c r="E224" s="79"/>
    </row>
    <row r="225">
      <c r="B225" s="79"/>
      <c r="E225" s="79"/>
    </row>
    <row r="226">
      <c r="B226" s="79"/>
      <c r="E226" s="79"/>
    </row>
    <row r="227">
      <c r="B227" s="79"/>
      <c r="E227" s="79"/>
    </row>
    <row r="228">
      <c r="B228" s="79"/>
      <c r="E228" s="79"/>
    </row>
    <row r="229">
      <c r="B229" s="79"/>
      <c r="E229" s="79"/>
    </row>
    <row r="230">
      <c r="B230" s="79"/>
      <c r="E230" s="79"/>
    </row>
    <row r="231">
      <c r="B231" s="79"/>
      <c r="E231" s="79"/>
    </row>
    <row r="232">
      <c r="B232" s="79"/>
      <c r="E232" s="79"/>
    </row>
    <row r="233">
      <c r="B233" s="79"/>
      <c r="E233" s="79"/>
    </row>
    <row r="234">
      <c r="B234" s="79"/>
      <c r="E234" s="79"/>
    </row>
    <row r="235">
      <c r="B235" s="79"/>
      <c r="E235" s="79"/>
    </row>
    <row r="236">
      <c r="B236" s="79"/>
      <c r="E236" s="79"/>
    </row>
    <row r="237">
      <c r="B237" s="79"/>
      <c r="E237" s="79"/>
    </row>
    <row r="238">
      <c r="B238" s="79"/>
      <c r="E238" s="79"/>
    </row>
    <row r="239">
      <c r="B239" s="79"/>
      <c r="E239" s="79"/>
    </row>
    <row r="240">
      <c r="B240" s="79"/>
      <c r="E240" s="79"/>
    </row>
    <row r="241">
      <c r="B241" s="79"/>
      <c r="E241" s="79"/>
    </row>
    <row r="242">
      <c r="B242" s="79"/>
      <c r="E242" s="79"/>
    </row>
    <row r="243">
      <c r="B243" s="79"/>
      <c r="E243" s="79"/>
    </row>
    <row r="244">
      <c r="B244" s="79"/>
      <c r="E244" s="79"/>
    </row>
    <row r="245">
      <c r="B245" s="79"/>
      <c r="E245" s="79"/>
    </row>
    <row r="246">
      <c r="B246" s="79"/>
      <c r="E246" s="79"/>
    </row>
    <row r="247">
      <c r="B247" s="79"/>
      <c r="E247" s="79"/>
    </row>
    <row r="248">
      <c r="B248" s="79"/>
      <c r="E248" s="79"/>
    </row>
    <row r="249">
      <c r="B249" s="79"/>
      <c r="E249" s="79"/>
    </row>
    <row r="250">
      <c r="B250" s="79"/>
      <c r="E250" s="79"/>
    </row>
    <row r="251">
      <c r="B251" s="79"/>
      <c r="E251" s="79"/>
    </row>
    <row r="252">
      <c r="B252" s="79"/>
      <c r="E252" s="79"/>
    </row>
    <row r="253">
      <c r="B253" s="79"/>
      <c r="E253" s="79"/>
    </row>
    <row r="254">
      <c r="B254" s="79"/>
      <c r="E254" s="79"/>
    </row>
    <row r="255">
      <c r="B255" s="79"/>
      <c r="E255" s="79"/>
    </row>
    <row r="256">
      <c r="B256" s="79"/>
      <c r="E256" s="79"/>
    </row>
    <row r="257">
      <c r="B257" s="79"/>
      <c r="E257" s="79"/>
    </row>
    <row r="258">
      <c r="B258" s="79"/>
      <c r="E258" s="79"/>
    </row>
    <row r="259">
      <c r="B259" s="79"/>
      <c r="E259" s="79"/>
    </row>
    <row r="260">
      <c r="B260" s="79"/>
      <c r="E260" s="79"/>
    </row>
    <row r="261">
      <c r="B261" s="79"/>
      <c r="E261" s="79"/>
    </row>
    <row r="262">
      <c r="B262" s="79"/>
      <c r="E262" s="79"/>
    </row>
    <row r="263">
      <c r="B263" s="79"/>
      <c r="E263" s="79"/>
    </row>
    <row r="264">
      <c r="B264" s="79"/>
      <c r="E264" s="79"/>
    </row>
    <row r="265">
      <c r="B265" s="79"/>
      <c r="E265" s="79"/>
    </row>
    <row r="266">
      <c r="B266" s="79"/>
      <c r="E266" s="79"/>
    </row>
    <row r="267">
      <c r="B267" s="79"/>
      <c r="E267" s="79"/>
    </row>
    <row r="268">
      <c r="B268" s="79"/>
      <c r="E268" s="79"/>
    </row>
    <row r="269">
      <c r="B269" s="79"/>
      <c r="E269" s="79"/>
    </row>
    <row r="270">
      <c r="B270" s="79"/>
      <c r="E270" s="79"/>
    </row>
    <row r="271">
      <c r="B271" s="79"/>
      <c r="E271" s="79"/>
    </row>
    <row r="272">
      <c r="B272" s="79"/>
      <c r="E272" s="79"/>
    </row>
    <row r="273">
      <c r="B273" s="79"/>
      <c r="E273" s="79"/>
    </row>
    <row r="274">
      <c r="B274" s="79"/>
      <c r="E274" s="79"/>
    </row>
    <row r="275">
      <c r="B275" s="79"/>
      <c r="E275" s="79"/>
    </row>
    <row r="276">
      <c r="B276" s="79"/>
      <c r="E276" s="79"/>
    </row>
    <row r="277">
      <c r="B277" s="79"/>
      <c r="E277" s="79"/>
    </row>
    <row r="278">
      <c r="B278" s="79"/>
      <c r="E278" s="79"/>
    </row>
    <row r="279">
      <c r="B279" s="79"/>
      <c r="E279" s="79"/>
    </row>
    <row r="280">
      <c r="B280" s="79"/>
      <c r="E280" s="79"/>
    </row>
    <row r="281">
      <c r="B281" s="79"/>
      <c r="E281" s="79"/>
    </row>
    <row r="282">
      <c r="B282" s="79"/>
      <c r="E282" s="79"/>
    </row>
    <row r="283">
      <c r="B283" s="79"/>
      <c r="E283" s="79"/>
    </row>
    <row r="284">
      <c r="B284" s="79"/>
      <c r="E284" s="79"/>
    </row>
    <row r="285">
      <c r="B285" s="79"/>
      <c r="E285" s="79"/>
    </row>
    <row r="286">
      <c r="B286" s="79"/>
      <c r="E286" s="79"/>
    </row>
    <row r="287">
      <c r="B287" s="79"/>
      <c r="E287" s="79"/>
    </row>
    <row r="288">
      <c r="B288" s="79"/>
      <c r="E288" s="79"/>
    </row>
    <row r="289">
      <c r="B289" s="79"/>
      <c r="E289" s="79"/>
    </row>
    <row r="290">
      <c r="B290" s="79"/>
      <c r="E290" s="79"/>
    </row>
    <row r="291">
      <c r="B291" s="79"/>
      <c r="E291" s="79"/>
    </row>
    <row r="292">
      <c r="B292" s="79"/>
      <c r="E292" s="79"/>
    </row>
    <row r="293">
      <c r="B293" s="79"/>
      <c r="E293" s="79"/>
    </row>
    <row r="294">
      <c r="B294" s="79"/>
      <c r="E294" s="79"/>
    </row>
    <row r="295">
      <c r="B295" s="79"/>
      <c r="E295" s="79"/>
    </row>
    <row r="296">
      <c r="B296" s="79"/>
      <c r="E296" s="79"/>
    </row>
    <row r="297">
      <c r="B297" s="79"/>
      <c r="E297" s="79"/>
    </row>
    <row r="298">
      <c r="B298" s="79"/>
      <c r="E298" s="79"/>
    </row>
    <row r="299">
      <c r="B299" s="79"/>
      <c r="E299" s="79"/>
    </row>
    <row r="300">
      <c r="B300" s="79"/>
      <c r="E300" s="79"/>
    </row>
    <row r="301">
      <c r="B301" s="79"/>
      <c r="E301" s="79"/>
    </row>
    <row r="302">
      <c r="B302" s="79"/>
      <c r="E302" s="79"/>
    </row>
    <row r="303">
      <c r="B303" s="79"/>
      <c r="E303" s="79"/>
    </row>
    <row r="304">
      <c r="B304" s="79"/>
      <c r="E304" s="79"/>
    </row>
    <row r="305">
      <c r="B305" s="79"/>
      <c r="E305" s="79"/>
    </row>
    <row r="306">
      <c r="B306" s="79"/>
      <c r="E306" s="79"/>
    </row>
    <row r="307">
      <c r="B307" s="79"/>
      <c r="E307" s="79"/>
    </row>
    <row r="308">
      <c r="B308" s="79"/>
      <c r="E308" s="79"/>
    </row>
    <row r="309">
      <c r="B309" s="79"/>
      <c r="E309" s="79"/>
    </row>
    <row r="310">
      <c r="B310" s="79"/>
      <c r="E310" s="79"/>
    </row>
    <row r="311">
      <c r="B311" s="79"/>
      <c r="E311" s="79"/>
    </row>
    <row r="312">
      <c r="B312" s="79"/>
      <c r="E312" s="79"/>
    </row>
    <row r="313">
      <c r="B313" s="79"/>
      <c r="E313" s="79"/>
    </row>
    <row r="314">
      <c r="B314" s="79"/>
      <c r="E314" s="79"/>
    </row>
    <row r="315">
      <c r="B315" s="79"/>
      <c r="E315" s="79"/>
    </row>
    <row r="316">
      <c r="B316" s="79"/>
      <c r="E316" s="79"/>
    </row>
    <row r="317">
      <c r="B317" s="79"/>
      <c r="E317" s="79"/>
    </row>
    <row r="318">
      <c r="B318" s="79"/>
      <c r="E318" s="79"/>
    </row>
    <row r="319">
      <c r="B319" s="79"/>
      <c r="E319" s="79"/>
    </row>
    <row r="320">
      <c r="B320" s="79"/>
      <c r="E320" s="79"/>
    </row>
    <row r="321">
      <c r="B321" s="79"/>
      <c r="E321" s="79"/>
    </row>
    <row r="322">
      <c r="B322" s="79"/>
      <c r="E322" s="79"/>
    </row>
    <row r="323">
      <c r="B323" s="79"/>
      <c r="E323" s="79"/>
    </row>
    <row r="324">
      <c r="B324" s="79"/>
      <c r="E324" s="79"/>
    </row>
    <row r="325">
      <c r="B325" s="79"/>
      <c r="E325" s="79"/>
    </row>
    <row r="326">
      <c r="B326" s="79"/>
      <c r="E326" s="79"/>
    </row>
    <row r="327">
      <c r="B327" s="79"/>
      <c r="E327" s="79"/>
    </row>
    <row r="328">
      <c r="B328" s="79"/>
      <c r="E328" s="79"/>
    </row>
    <row r="329">
      <c r="B329" s="79"/>
      <c r="E329" s="79"/>
    </row>
    <row r="330">
      <c r="B330" s="79"/>
      <c r="E330" s="79"/>
    </row>
    <row r="331">
      <c r="B331" s="79"/>
      <c r="E331" s="79"/>
    </row>
    <row r="332">
      <c r="B332" s="79"/>
      <c r="E332" s="79"/>
    </row>
    <row r="333">
      <c r="B333" s="79"/>
      <c r="E333" s="79"/>
    </row>
    <row r="334">
      <c r="B334" s="79"/>
      <c r="E334" s="79"/>
    </row>
    <row r="335">
      <c r="B335" s="79"/>
      <c r="E335" s="79"/>
    </row>
    <row r="336">
      <c r="B336" s="79"/>
      <c r="E336" s="79"/>
    </row>
    <row r="337">
      <c r="B337" s="79"/>
      <c r="E337" s="79"/>
    </row>
    <row r="338">
      <c r="B338" s="79"/>
      <c r="E338" s="79"/>
    </row>
    <row r="339">
      <c r="B339" s="79"/>
      <c r="E339" s="79"/>
    </row>
    <row r="340">
      <c r="B340" s="79"/>
      <c r="E340" s="79"/>
    </row>
    <row r="341">
      <c r="B341" s="79"/>
      <c r="E341" s="79"/>
    </row>
    <row r="342">
      <c r="B342" s="79"/>
      <c r="E342" s="79"/>
    </row>
    <row r="343">
      <c r="B343" s="79"/>
      <c r="E343" s="79"/>
    </row>
    <row r="344">
      <c r="B344" s="79"/>
      <c r="E344" s="79"/>
    </row>
    <row r="345">
      <c r="B345" s="79"/>
      <c r="E345" s="79"/>
    </row>
    <row r="346">
      <c r="B346" s="79"/>
      <c r="E346" s="79"/>
    </row>
    <row r="347">
      <c r="B347" s="79"/>
      <c r="E347" s="79"/>
    </row>
    <row r="348">
      <c r="B348" s="79"/>
      <c r="E348" s="79"/>
    </row>
    <row r="349">
      <c r="B349" s="79"/>
      <c r="E349" s="79"/>
    </row>
    <row r="350">
      <c r="B350" s="79"/>
      <c r="E350" s="79"/>
    </row>
    <row r="351">
      <c r="B351" s="79"/>
      <c r="E351" s="79"/>
    </row>
    <row r="352">
      <c r="B352" s="79"/>
      <c r="E352" s="79"/>
    </row>
    <row r="353">
      <c r="B353" s="79"/>
      <c r="E353" s="79"/>
    </row>
    <row r="354">
      <c r="B354" s="79"/>
      <c r="E354" s="79"/>
    </row>
    <row r="355">
      <c r="B355" s="79"/>
      <c r="E355" s="79"/>
    </row>
    <row r="356">
      <c r="B356" s="79"/>
      <c r="E356" s="79"/>
    </row>
    <row r="357">
      <c r="B357" s="79"/>
      <c r="E357" s="79"/>
    </row>
    <row r="358">
      <c r="B358" s="79"/>
      <c r="E358" s="79"/>
    </row>
    <row r="359">
      <c r="B359" s="79"/>
      <c r="E359" s="79"/>
    </row>
    <row r="360">
      <c r="B360" s="79"/>
      <c r="E360" s="79"/>
    </row>
    <row r="361">
      <c r="B361" s="79"/>
      <c r="E361" s="79"/>
    </row>
    <row r="362">
      <c r="B362" s="79"/>
      <c r="E362" s="79"/>
    </row>
    <row r="363">
      <c r="B363" s="79"/>
      <c r="E363" s="79"/>
    </row>
    <row r="364">
      <c r="B364" s="79"/>
      <c r="E364" s="79"/>
    </row>
    <row r="365">
      <c r="B365" s="79"/>
      <c r="E365" s="79"/>
    </row>
    <row r="366">
      <c r="B366" s="79"/>
      <c r="E366" s="79"/>
    </row>
    <row r="367">
      <c r="B367" s="79"/>
      <c r="E367" s="79"/>
    </row>
    <row r="368">
      <c r="B368" s="79"/>
      <c r="E368" s="79"/>
    </row>
    <row r="369">
      <c r="B369" s="79"/>
      <c r="E369" s="79"/>
    </row>
    <row r="370">
      <c r="B370" s="79"/>
      <c r="E370" s="79"/>
    </row>
    <row r="371">
      <c r="B371" s="79"/>
      <c r="E371" s="79"/>
    </row>
    <row r="372">
      <c r="B372" s="79"/>
      <c r="E372" s="79"/>
    </row>
    <row r="373">
      <c r="B373" s="79"/>
      <c r="E373" s="79"/>
    </row>
    <row r="374">
      <c r="B374" s="79"/>
      <c r="E374" s="79"/>
    </row>
    <row r="375">
      <c r="B375" s="79"/>
      <c r="E375" s="79"/>
    </row>
    <row r="376">
      <c r="B376" s="79"/>
      <c r="E376" s="79"/>
    </row>
    <row r="377">
      <c r="B377" s="79"/>
      <c r="E377" s="79"/>
    </row>
    <row r="378">
      <c r="B378" s="79"/>
      <c r="E378" s="79"/>
    </row>
    <row r="379">
      <c r="B379" s="79"/>
      <c r="E379" s="79"/>
    </row>
    <row r="380">
      <c r="B380" s="79"/>
      <c r="E380" s="79"/>
    </row>
    <row r="381">
      <c r="B381" s="79"/>
      <c r="E381" s="79"/>
    </row>
    <row r="382">
      <c r="B382" s="79"/>
      <c r="E382" s="79"/>
    </row>
    <row r="383">
      <c r="B383" s="79"/>
      <c r="E383" s="79"/>
    </row>
    <row r="384">
      <c r="B384" s="79"/>
      <c r="E384" s="79"/>
    </row>
    <row r="385">
      <c r="B385" s="79"/>
      <c r="E385" s="79"/>
    </row>
    <row r="386">
      <c r="B386" s="79"/>
      <c r="E386" s="79"/>
    </row>
    <row r="387">
      <c r="B387" s="79"/>
      <c r="E387" s="79"/>
    </row>
    <row r="388">
      <c r="B388" s="79"/>
      <c r="E388" s="79"/>
    </row>
    <row r="389">
      <c r="B389" s="79"/>
      <c r="E389" s="79"/>
    </row>
    <row r="390">
      <c r="B390" s="79"/>
      <c r="E390" s="79"/>
    </row>
    <row r="391">
      <c r="B391" s="79"/>
      <c r="E391" s="79"/>
    </row>
    <row r="392">
      <c r="B392" s="79"/>
      <c r="E392" s="79"/>
    </row>
    <row r="393">
      <c r="B393" s="79"/>
      <c r="E393" s="79"/>
    </row>
    <row r="394">
      <c r="B394" s="79"/>
      <c r="E394" s="79"/>
    </row>
    <row r="395">
      <c r="B395" s="79"/>
      <c r="E395" s="79"/>
    </row>
    <row r="396">
      <c r="B396" s="79"/>
      <c r="E396" s="79"/>
    </row>
    <row r="397">
      <c r="B397" s="79"/>
      <c r="E397" s="79"/>
    </row>
    <row r="398">
      <c r="B398" s="79"/>
      <c r="E398" s="79"/>
    </row>
    <row r="399">
      <c r="B399" s="79"/>
      <c r="E399" s="79"/>
    </row>
    <row r="400">
      <c r="B400" s="79"/>
      <c r="E400" s="79"/>
    </row>
    <row r="401">
      <c r="B401" s="79"/>
      <c r="E401" s="79"/>
    </row>
    <row r="402">
      <c r="B402" s="79"/>
      <c r="E402" s="79"/>
    </row>
    <row r="403">
      <c r="B403" s="79"/>
      <c r="E403" s="79"/>
    </row>
    <row r="404">
      <c r="B404" s="79"/>
      <c r="E404" s="79"/>
    </row>
    <row r="405">
      <c r="B405" s="79"/>
      <c r="E405" s="79"/>
    </row>
    <row r="406">
      <c r="B406" s="79"/>
      <c r="E406" s="79"/>
    </row>
    <row r="407">
      <c r="B407" s="79"/>
      <c r="E407" s="79"/>
    </row>
    <row r="408">
      <c r="B408" s="79"/>
      <c r="E408" s="79"/>
    </row>
    <row r="409">
      <c r="B409" s="79"/>
      <c r="E409" s="79"/>
    </row>
    <row r="410">
      <c r="B410" s="79"/>
      <c r="E410" s="79"/>
    </row>
    <row r="411">
      <c r="B411" s="79"/>
      <c r="E411" s="79"/>
    </row>
    <row r="412">
      <c r="B412" s="79"/>
      <c r="E412" s="79"/>
    </row>
    <row r="413">
      <c r="B413" s="79"/>
      <c r="E413" s="79"/>
    </row>
    <row r="414">
      <c r="B414" s="79"/>
      <c r="E414" s="79"/>
    </row>
    <row r="415">
      <c r="B415" s="79"/>
      <c r="E415" s="79"/>
    </row>
    <row r="416">
      <c r="B416" s="79"/>
      <c r="E416" s="79"/>
    </row>
    <row r="417">
      <c r="B417" s="79"/>
      <c r="E417" s="79"/>
    </row>
    <row r="418">
      <c r="B418" s="79"/>
      <c r="E418" s="79"/>
    </row>
    <row r="419">
      <c r="B419" s="79"/>
      <c r="E419" s="79"/>
    </row>
    <row r="420">
      <c r="B420" s="79"/>
      <c r="E420" s="79"/>
    </row>
    <row r="421">
      <c r="B421" s="79"/>
      <c r="E421" s="79"/>
    </row>
    <row r="422">
      <c r="B422" s="79"/>
      <c r="E422" s="79"/>
    </row>
    <row r="423">
      <c r="B423" s="79"/>
      <c r="E423" s="79"/>
    </row>
    <row r="424">
      <c r="B424" s="79"/>
      <c r="E424" s="79"/>
    </row>
    <row r="425">
      <c r="B425" s="79"/>
      <c r="E425" s="79"/>
    </row>
    <row r="426">
      <c r="B426" s="79"/>
      <c r="E426" s="79"/>
    </row>
    <row r="427">
      <c r="B427" s="79"/>
      <c r="E427" s="79"/>
    </row>
    <row r="428">
      <c r="B428" s="79"/>
      <c r="E428" s="79"/>
    </row>
    <row r="429">
      <c r="B429" s="79"/>
      <c r="E429" s="79"/>
    </row>
    <row r="430">
      <c r="B430" s="79"/>
      <c r="E430" s="79"/>
    </row>
    <row r="431">
      <c r="B431" s="79"/>
      <c r="E431" s="79"/>
    </row>
    <row r="432">
      <c r="B432" s="79"/>
      <c r="E432" s="79"/>
    </row>
    <row r="433">
      <c r="B433" s="79"/>
      <c r="E433" s="79"/>
    </row>
    <row r="434">
      <c r="B434" s="79"/>
      <c r="E434" s="79"/>
    </row>
    <row r="435">
      <c r="B435" s="79"/>
      <c r="E435" s="79"/>
    </row>
    <row r="436">
      <c r="B436" s="79"/>
      <c r="E436" s="79"/>
    </row>
    <row r="437">
      <c r="B437" s="79"/>
      <c r="E437" s="79"/>
    </row>
    <row r="438">
      <c r="B438" s="79"/>
      <c r="E438" s="79"/>
    </row>
    <row r="439">
      <c r="B439" s="79"/>
      <c r="E439" s="79"/>
    </row>
    <row r="440">
      <c r="B440" s="79"/>
      <c r="E440" s="79"/>
    </row>
    <row r="441">
      <c r="B441" s="79"/>
      <c r="E441" s="79"/>
    </row>
    <row r="442">
      <c r="B442" s="79"/>
      <c r="E442" s="79"/>
    </row>
    <row r="443">
      <c r="B443" s="79"/>
      <c r="E443" s="79"/>
    </row>
    <row r="444">
      <c r="B444" s="79"/>
      <c r="E444" s="79"/>
    </row>
    <row r="445">
      <c r="B445" s="79"/>
      <c r="E445" s="79"/>
    </row>
    <row r="446">
      <c r="B446" s="79"/>
      <c r="E446" s="79"/>
    </row>
    <row r="447">
      <c r="B447" s="79"/>
      <c r="E447" s="79"/>
    </row>
    <row r="448">
      <c r="B448" s="79"/>
      <c r="E448" s="79"/>
    </row>
    <row r="449">
      <c r="B449" s="79"/>
      <c r="E449" s="79"/>
    </row>
    <row r="450">
      <c r="B450" s="79"/>
      <c r="E450" s="79"/>
    </row>
    <row r="451">
      <c r="B451" s="79"/>
      <c r="E451" s="79"/>
    </row>
    <row r="452">
      <c r="B452" s="79"/>
      <c r="E452" s="79"/>
    </row>
    <row r="453">
      <c r="B453" s="79"/>
      <c r="E453" s="79"/>
    </row>
    <row r="454">
      <c r="B454" s="79"/>
      <c r="E454" s="79"/>
    </row>
    <row r="455">
      <c r="B455" s="79"/>
      <c r="E455" s="79"/>
    </row>
    <row r="456">
      <c r="B456" s="79"/>
      <c r="E456" s="79"/>
    </row>
    <row r="457">
      <c r="B457" s="79"/>
      <c r="E457" s="79"/>
    </row>
    <row r="458">
      <c r="B458" s="79"/>
      <c r="E458" s="79"/>
    </row>
    <row r="459">
      <c r="B459" s="79"/>
      <c r="E459" s="79"/>
    </row>
    <row r="460">
      <c r="B460" s="79"/>
      <c r="E460" s="79"/>
    </row>
    <row r="461">
      <c r="B461" s="79"/>
      <c r="E461" s="79"/>
    </row>
    <row r="462">
      <c r="B462" s="79"/>
      <c r="E462" s="79"/>
    </row>
    <row r="463">
      <c r="B463" s="79"/>
      <c r="E463" s="79"/>
    </row>
    <row r="464">
      <c r="B464" s="79"/>
      <c r="E464" s="79"/>
    </row>
    <row r="465">
      <c r="B465" s="79"/>
      <c r="E465" s="79"/>
    </row>
    <row r="466">
      <c r="B466" s="79"/>
      <c r="E466" s="79"/>
    </row>
    <row r="467">
      <c r="B467" s="79"/>
      <c r="E467" s="79"/>
    </row>
    <row r="468">
      <c r="B468" s="79"/>
      <c r="E468" s="79"/>
    </row>
    <row r="469">
      <c r="B469" s="79"/>
      <c r="E469" s="79"/>
    </row>
    <row r="470">
      <c r="B470" s="79"/>
      <c r="E470" s="79"/>
    </row>
    <row r="471">
      <c r="B471" s="79"/>
      <c r="E471" s="79"/>
    </row>
    <row r="472">
      <c r="B472" s="79"/>
      <c r="E472" s="79"/>
    </row>
    <row r="473">
      <c r="B473" s="79"/>
      <c r="E473" s="79"/>
    </row>
    <row r="474">
      <c r="B474" s="79"/>
      <c r="E474" s="79"/>
    </row>
    <row r="475">
      <c r="B475" s="79"/>
      <c r="E475" s="79"/>
    </row>
    <row r="476">
      <c r="B476" s="79"/>
      <c r="E476" s="79"/>
    </row>
    <row r="477">
      <c r="B477" s="79"/>
      <c r="E477" s="79"/>
    </row>
    <row r="478">
      <c r="B478" s="79"/>
      <c r="E478" s="79"/>
    </row>
    <row r="479">
      <c r="B479" s="79"/>
      <c r="E479" s="79"/>
    </row>
    <row r="480">
      <c r="B480" s="79"/>
      <c r="E480" s="79"/>
    </row>
    <row r="481">
      <c r="B481" s="79"/>
      <c r="E481" s="79"/>
    </row>
    <row r="482">
      <c r="B482" s="79"/>
      <c r="E482" s="79"/>
    </row>
    <row r="483">
      <c r="B483" s="79"/>
      <c r="E483" s="79"/>
    </row>
    <row r="484">
      <c r="B484" s="79"/>
      <c r="E484" s="79"/>
    </row>
    <row r="485">
      <c r="B485" s="79"/>
      <c r="E485" s="79"/>
    </row>
    <row r="486">
      <c r="B486" s="79"/>
      <c r="E486" s="79"/>
    </row>
    <row r="487">
      <c r="B487" s="79"/>
      <c r="E487" s="79"/>
    </row>
    <row r="488">
      <c r="B488" s="79"/>
      <c r="E488" s="79"/>
    </row>
    <row r="489">
      <c r="B489" s="79"/>
      <c r="E489" s="79"/>
    </row>
    <row r="490">
      <c r="B490" s="79"/>
      <c r="E490" s="79"/>
    </row>
    <row r="491">
      <c r="B491" s="79"/>
      <c r="E491" s="79"/>
    </row>
    <row r="492">
      <c r="B492" s="79"/>
      <c r="E492" s="79"/>
    </row>
    <row r="493">
      <c r="B493" s="79"/>
      <c r="E493" s="79"/>
    </row>
    <row r="494">
      <c r="B494" s="79"/>
      <c r="E494" s="79"/>
    </row>
    <row r="495">
      <c r="B495" s="79"/>
      <c r="E495" s="79"/>
    </row>
    <row r="496">
      <c r="B496" s="79"/>
      <c r="E496" s="79"/>
    </row>
    <row r="497">
      <c r="B497" s="79"/>
      <c r="E497" s="79"/>
    </row>
    <row r="498">
      <c r="B498" s="79"/>
      <c r="E498" s="79"/>
    </row>
    <row r="499">
      <c r="B499" s="79"/>
      <c r="E499" s="79"/>
    </row>
    <row r="500">
      <c r="B500" s="79"/>
      <c r="E500" s="79"/>
    </row>
    <row r="501">
      <c r="B501" s="79"/>
      <c r="E501" s="79"/>
    </row>
    <row r="502">
      <c r="B502" s="79"/>
      <c r="E502" s="79"/>
    </row>
    <row r="503">
      <c r="B503" s="79"/>
      <c r="E503" s="79"/>
    </row>
    <row r="504">
      <c r="B504" s="79"/>
      <c r="E504" s="79"/>
    </row>
    <row r="505">
      <c r="B505" s="79"/>
      <c r="E505" s="79"/>
    </row>
    <row r="506">
      <c r="B506" s="79"/>
      <c r="E506" s="79"/>
    </row>
    <row r="507">
      <c r="B507" s="79"/>
      <c r="E507" s="79"/>
    </row>
    <row r="508">
      <c r="B508" s="79"/>
      <c r="E508" s="79"/>
    </row>
    <row r="509">
      <c r="B509" s="79"/>
      <c r="E509" s="79"/>
    </row>
    <row r="510">
      <c r="B510" s="79"/>
      <c r="E510" s="79"/>
    </row>
    <row r="511">
      <c r="B511" s="79"/>
      <c r="E511" s="79"/>
    </row>
    <row r="512">
      <c r="B512" s="79"/>
      <c r="E512" s="79"/>
    </row>
    <row r="513">
      <c r="B513" s="79"/>
      <c r="E513" s="79"/>
    </row>
    <row r="514">
      <c r="B514" s="79"/>
      <c r="E514" s="79"/>
    </row>
    <row r="515">
      <c r="B515" s="79"/>
      <c r="E515" s="79"/>
    </row>
    <row r="516">
      <c r="B516" s="79"/>
      <c r="E516" s="79"/>
    </row>
    <row r="517">
      <c r="B517" s="79"/>
      <c r="E517" s="79"/>
    </row>
    <row r="518">
      <c r="B518" s="79"/>
      <c r="E518" s="79"/>
    </row>
    <row r="519">
      <c r="B519" s="79"/>
      <c r="E519" s="79"/>
    </row>
    <row r="520">
      <c r="B520" s="79"/>
      <c r="E520" s="79"/>
    </row>
    <row r="521">
      <c r="B521" s="79"/>
      <c r="E521" s="79"/>
    </row>
    <row r="522">
      <c r="B522" s="79"/>
      <c r="E522" s="79"/>
    </row>
    <row r="523">
      <c r="B523" s="79"/>
      <c r="E523" s="79"/>
    </row>
    <row r="524">
      <c r="B524" s="79"/>
      <c r="E524" s="79"/>
    </row>
    <row r="525">
      <c r="B525" s="79"/>
      <c r="E525" s="79"/>
    </row>
    <row r="526">
      <c r="B526" s="79"/>
      <c r="E526" s="79"/>
    </row>
    <row r="527">
      <c r="B527" s="79"/>
      <c r="E527" s="79"/>
    </row>
    <row r="528">
      <c r="B528" s="79"/>
      <c r="E528" s="79"/>
    </row>
    <row r="529">
      <c r="B529" s="79"/>
      <c r="E529" s="79"/>
    </row>
    <row r="530">
      <c r="B530" s="79"/>
      <c r="E530" s="79"/>
    </row>
    <row r="531">
      <c r="B531" s="79"/>
      <c r="E531" s="79"/>
    </row>
    <row r="532">
      <c r="B532" s="79"/>
      <c r="E532" s="79"/>
    </row>
    <row r="533">
      <c r="B533" s="79"/>
      <c r="E533" s="79"/>
    </row>
    <row r="534">
      <c r="B534" s="79"/>
      <c r="E534" s="79"/>
    </row>
    <row r="535">
      <c r="B535" s="79"/>
      <c r="E535" s="79"/>
    </row>
    <row r="536">
      <c r="B536" s="79"/>
      <c r="E536" s="79"/>
    </row>
    <row r="537">
      <c r="B537" s="79"/>
      <c r="E537" s="79"/>
    </row>
    <row r="538">
      <c r="B538" s="79"/>
      <c r="E538" s="79"/>
    </row>
    <row r="539">
      <c r="B539" s="79"/>
      <c r="E539" s="79"/>
    </row>
    <row r="540">
      <c r="B540" s="79"/>
      <c r="E540" s="79"/>
    </row>
    <row r="541">
      <c r="B541" s="79"/>
      <c r="E541" s="79"/>
    </row>
    <row r="542">
      <c r="B542" s="79"/>
      <c r="E542" s="79"/>
    </row>
    <row r="543">
      <c r="B543" s="79"/>
      <c r="E543" s="79"/>
    </row>
    <row r="544">
      <c r="B544" s="79"/>
      <c r="E544" s="79"/>
    </row>
    <row r="545">
      <c r="B545" s="79"/>
      <c r="E545" s="79"/>
    </row>
    <row r="546">
      <c r="B546" s="79"/>
      <c r="E546" s="79"/>
    </row>
    <row r="547">
      <c r="B547" s="79"/>
      <c r="E547" s="79"/>
    </row>
    <row r="548">
      <c r="B548" s="79"/>
      <c r="E548" s="79"/>
    </row>
    <row r="549">
      <c r="B549" s="79"/>
      <c r="E549" s="79"/>
    </row>
    <row r="550">
      <c r="B550" s="79"/>
      <c r="E550" s="79"/>
    </row>
    <row r="551">
      <c r="B551" s="79"/>
      <c r="E551" s="79"/>
    </row>
    <row r="552">
      <c r="B552" s="79"/>
      <c r="E552" s="79"/>
    </row>
    <row r="553">
      <c r="B553" s="79"/>
      <c r="E553" s="79"/>
    </row>
    <row r="554">
      <c r="B554" s="79"/>
      <c r="E554" s="79"/>
    </row>
    <row r="555">
      <c r="B555" s="79"/>
      <c r="E555" s="79"/>
    </row>
    <row r="556">
      <c r="B556" s="79"/>
      <c r="E556" s="79"/>
    </row>
    <row r="557">
      <c r="B557" s="79"/>
      <c r="E557" s="79"/>
    </row>
    <row r="558">
      <c r="B558" s="79"/>
      <c r="E558" s="79"/>
    </row>
    <row r="559">
      <c r="B559" s="79"/>
      <c r="E559" s="79"/>
    </row>
    <row r="560">
      <c r="B560" s="79"/>
      <c r="E560" s="79"/>
    </row>
    <row r="561">
      <c r="B561" s="79"/>
      <c r="E561" s="79"/>
    </row>
    <row r="562">
      <c r="B562" s="79"/>
      <c r="E562" s="79"/>
    </row>
    <row r="563">
      <c r="B563" s="79"/>
      <c r="E563" s="79"/>
    </row>
    <row r="564">
      <c r="B564" s="79"/>
      <c r="E564" s="79"/>
    </row>
    <row r="565">
      <c r="B565" s="79"/>
      <c r="E565" s="79"/>
    </row>
    <row r="566">
      <c r="B566" s="79"/>
      <c r="E566" s="79"/>
    </row>
    <row r="567">
      <c r="B567" s="79"/>
      <c r="E567" s="79"/>
    </row>
    <row r="568">
      <c r="B568" s="79"/>
      <c r="E568" s="79"/>
    </row>
    <row r="569">
      <c r="B569" s="79"/>
      <c r="E569" s="79"/>
    </row>
    <row r="570">
      <c r="B570" s="79"/>
      <c r="E570" s="79"/>
    </row>
    <row r="571">
      <c r="B571" s="79"/>
      <c r="E571" s="79"/>
    </row>
    <row r="572">
      <c r="B572" s="79"/>
      <c r="E572" s="79"/>
    </row>
    <row r="573">
      <c r="B573" s="79"/>
      <c r="E573" s="79"/>
    </row>
    <row r="574">
      <c r="B574" s="79"/>
      <c r="E574" s="79"/>
    </row>
    <row r="575">
      <c r="B575" s="79"/>
      <c r="E575" s="79"/>
    </row>
    <row r="576">
      <c r="B576" s="79"/>
      <c r="E576" s="79"/>
    </row>
    <row r="577">
      <c r="B577" s="79"/>
      <c r="E577" s="79"/>
    </row>
    <row r="578">
      <c r="B578" s="79"/>
      <c r="E578" s="79"/>
    </row>
    <row r="579">
      <c r="B579" s="79"/>
      <c r="E579" s="79"/>
    </row>
    <row r="580">
      <c r="B580" s="79"/>
      <c r="E580" s="79"/>
    </row>
    <row r="581">
      <c r="B581" s="79"/>
      <c r="E581" s="79"/>
    </row>
    <row r="582">
      <c r="B582" s="79"/>
      <c r="E582" s="79"/>
    </row>
    <row r="583">
      <c r="B583" s="79"/>
      <c r="E583" s="79"/>
    </row>
    <row r="584">
      <c r="B584" s="79"/>
      <c r="E584" s="79"/>
    </row>
    <row r="585">
      <c r="B585" s="79"/>
      <c r="E585" s="79"/>
    </row>
    <row r="586">
      <c r="B586" s="79"/>
      <c r="E586" s="79"/>
    </row>
    <row r="587">
      <c r="B587" s="79"/>
      <c r="E587" s="79"/>
    </row>
    <row r="588">
      <c r="B588" s="79"/>
      <c r="E588" s="79"/>
    </row>
    <row r="589">
      <c r="B589" s="79"/>
      <c r="E589" s="79"/>
    </row>
    <row r="590">
      <c r="B590" s="79"/>
      <c r="E590" s="79"/>
    </row>
    <row r="591">
      <c r="B591" s="79"/>
      <c r="E591" s="79"/>
    </row>
    <row r="592">
      <c r="B592" s="79"/>
      <c r="E592" s="79"/>
    </row>
    <row r="593">
      <c r="B593" s="79"/>
      <c r="E593" s="79"/>
    </row>
    <row r="594">
      <c r="B594" s="79"/>
      <c r="E594" s="79"/>
    </row>
    <row r="595">
      <c r="B595" s="79"/>
      <c r="E595" s="79"/>
    </row>
    <row r="596">
      <c r="B596" s="79"/>
      <c r="E596" s="79"/>
    </row>
    <row r="597">
      <c r="B597" s="79"/>
      <c r="E597" s="79"/>
    </row>
    <row r="598">
      <c r="B598" s="79"/>
      <c r="E598" s="79"/>
    </row>
    <row r="599">
      <c r="B599" s="79"/>
      <c r="E599" s="79"/>
    </row>
    <row r="600">
      <c r="B600" s="79"/>
      <c r="E600" s="79"/>
    </row>
    <row r="601">
      <c r="B601" s="79"/>
      <c r="E601" s="79"/>
    </row>
    <row r="602">
      <c r="B602" s="79"/>
      <c r="E602" s="79"/>
    </row>
    <row r="603">
      <c r="B603" s="79"/>
      <c r="E603" s="79"/>
    </row>
    <row r="604">
      <c r="B604" s="79"/>
      <c r="E604" s="79"/>
    </row>
    <row r="605">
      <c r="B605" s="79"/>
      <c r="E605" s="79"/>
    </row>
    <row r="606">
      <c r="B606" s="79"/>
      <c r="E606" s="79"/>
    </row>
    <row r="607">
      <c r="B607" s="79"/>
      <c r="E607" s="79"/>
    </row>
    <row r="608">
      <c r="B608" s="79"/>
      <c r="E608" s="79"/>
    </row>
    <row r="609">
      <c r="B609" s="79"/>
      <c r="E609" s="79"/>
    </row>
    <row r="610">
      <c r="B610" s="79"/>
      <c r="E610" s="79"/>
    </row>
    <row r="611">
      <c r="B611" s="79"/>
      <c r="E611" s="79"/>
    </row>
    <row r="612">
      <c r="B612" s="79"/>
      <c r="E612" s="79"/>
    </row>
    <row r="613">
      <c r="B613" s="79"/>
      <c r="E613" s="79"/>
    </row>
    <row r="614">
      <c r="B614" s="79"/>
      <c r="E614" s="79"/>
    </row>
    <row r="615">
      <c r="B615" s="79"/>
      <c r="E615" s="79"/>
    </row>
    <row r="616">
      <c r="B616" s="79"/>
      <c r="E616" s="79"/>
    </row>
    <row r="617">
      <c r="B617" s="79"/>
      <c r="E617" s="79"/>
    </row>
    <row r="618">
      <c r="B618" s="79"/>
      <c r="E618" s="79"/>
    </row>
    <row r="619">
      <c r="B619" s="79"/>
      <c r="E619" s="79"/>
    </row>
    <row r="620">
      <c r="B620" s="79"/>
      <c r="E620" s="79"/>
    </row>
    <row r="621">
      <c r="B621" s="79"/>
      <c r="E621" s="79"/>
    </row>
    <row r="622">
      <c r="B622" s="79"/>
      <c r="E622" s="79"/>
    </row>
    <row r="623">
      <c r="B623" s="79"/>
      <c r="E623" s="79"/>
    </row>
    <row r="624">
      <c r="B624" s="79"/>
      <c r="E624" s="79"/>
    </row>
    <row r="625">
      <c r="B625" s="79"/>
      <c r="E625" s="79"/>
    </row>
    <row r="626">
      <c r="B626" s="79"/>
      <c r="E626" s="79"/>
    </row>
    <row r="627">
      <c r="B627" s="79"/>
      <c r="E627" s="79"/>
    </row>
    <row r="628">
      <c r="B628" s="79"/>
      <c r="E628" s="79"/>
    </row>
    <row r="629">
      <c r="B629" s="79"/>
      <c r="E629" s="79"/>
    </row>
    <row r="630">
      <c r="B630" s="79"/>
      <c r="E630" s="79"/>
    </row>
    <row r="631">
      <c r="B631" s="79"/>
      <c r="E631" s="79"/>
    </row>
    <row r="632">
      <c r="B632" s="79"/>
      <c r="E632" s="79"/>
    </row>
    <row r="633">
      <c r="B633" s="79"/>
      <c r="E633" s="79"/>
    </row>
    <row r="634">
      <c r="B634" s="79"/>
      <c r="E634" s="79"/>
    </row>
    <row r="635">
      <c r="B635" s="79"/>
      <c r="E635" s="79"/>
    </row>
    <row r="636">
      <c r="B636" s="79"/>
      <c r="E636" s="79"/>
    </row>
    <row r="637">
      <c r="B637" s="79"/>
      <c r="E637" s="79"/>
    </row>
    <row r="638">
      <c r="B638" s="79"/>
      <c r="E638" s="79"/>
    </row>
    <row r="639">
      <c r="B639" s="79"/>
      <c r="E639" s="79"/>
    </row>
    <row r="640">
      <c r="B640" s="79"/>
      <c r="E640" s="79"/>
    </row>
    <row r="641">
      <c r="B641" s="79"/>
      <c r="E641" s="79"/>
    </row>
    <row r="642">
      <c r="B642" s="79"/>
      <c r="E642" s="79"/>
    </row>
    <row r="643">
      <c r="B643" s="79"/>
      <c r="E643" s="79"/>
    </row>
    <row r="644">
      <c r="B644" s="79"/>
      <c r="E644" s="79"/>
    </row>
    <row r="645">
      <c r="B645" s="79"/>
      <c r="E645" s="79"/>
    </row>
    <row r="646">
      <c r="B646" s="79"/>
      <c r="E646" s="79"/>
    </row>
    <row r="647">
      <c r="B647" s="79"/>
      <c r="E647" s="79"/>
    </row>
    <row r="648">
      <c r="B648" s="79"/>
      <c r="E648" s="79"/>
    </row>
    <row r="649">
      <c r="B649" s="79"/>
      <c r="E649" s="79"/>
    </row>
    <row r="650">
      <c r="B650" s="79"/>
      <c r="E650" s="79"/>
    </row>
    <row r="651">
      <c r="B651" s="79"/>
      <c r="E651" s="79"/>
    </row>
    <row r="652">
      <c r="B652" s="79"/>
      <c r="E652" s="79"/>
    </row>
    <row r="653">
      <c r="B653" s="79"/>
      <c r="E653" s="79"/>
    </row>
    <row r="654">
      <c r="B654" s="79"/>
      <c r="E654" s="79"/>
    </row>
    <row r="655">
      <c r="B655" s="79"/>
      <c r="E655" s="79"/>
    </row>
    <row r="656">
      <c r="B656" s="79"/>
      <c r="E656" s="79"/>
    </row>
    <row r="657">
      <c r="B657" s="79"/>
      <c r="E657" s="79"/>
    </row>
    <row r="658">
      <c r="B658" s="79"/>
      <c r="E658" s="79"/>
    </row>
    <row r="659">
      <c r="B659" s="79"/>
      <c r="E659" s="79"/>
    </row>
    <row r="660">
      <c r="B660" s="79"/>
      <c r="E660" s="79"/>
    </row>
    <row r="661">
      <c r="B661" s="79"/>
      <c r="E661" s="79"/>
    </row>
    <row r="662">
      <c r="B662" s="79"/>
      <c r="E662" s="79"/>
    </row>
    <row r="663">
      <c r="B663" s="79"/>
      <c r="E663" s="79"/>
    </row>
    <row r="664">
      <c r="B664" s="79"/>
      <c r="E664" s="79"/>
    </row>
    <row r="665">
      <c r="B665" s="79"/>
      <c r="E665" s="79"/>
    </row>
    <row r="666">
      <c r="B666" s="79"/>
      <c r="E666" s="79"/>
    </row>
    <row r="667">
      <c r="B667" s="79"/>
      <c r="E667" s="79"/>
    </row>
    <row r="668">
      <c r="B668" s="79"/>
      <c r="E668" s="79"/>
    </row>
    <row r="669">
      <c r="B669" s="79"/>
      <c r="E669" s="79"/>
    </row>
    <row r="670">
      <c r="B670" s="79"/>
      <c r="E670" s="79"/>
    </row>
    <row r="671">
      <c r="B671" s="79"/>
      <c r="E671" s="79"/>
    </row>
    <row r="672">
      <c r="B672" s="79"/>
      <c r="E672" s="79"/>
    </row>
    <row r="673">
      <c r="B673" s="79"/>
      <c r="E673" s="79"/>
    </row>
    <row r="674">
      <c r="B674" s="79"/>
      <c r="E674" s="79"/>
    </row>
    <row r="675">
      <c r="B675" s="79"/>
      <c r="E675" s="79"/>
    </row>
    <row r="676">
      <c r="B676" s="79"/>
      <c r="E676" s="79"/>
    </row>
    <row r="677">
      <c r="B677" s="79"/>
      <c r="E677" s="79"/>
    </row>
    <row r="678">
      <c r="B678" s="79"/>
      <c r="E678" s="79"/>
    </row>
    <row r="679">
      <c r="B679" s="79"/>
      <c r="E679" s="79"/>
    </row>
    <row r="680">
      <c r="B680" s="79"/>
      <c r="E680" s="79"/>
    </row>
    <row r="681">
      <c r="B681" s="79"/>
      <c r="E681" s="79"/>
    </row>
    <row r="682">
      <c r="B682" s="79"/>
      <c r="E682" s="79"/>
    </row>
    <row r="683">
      <c r="B683" s="79"/>
      <c r="E683" s="79"/>
    </row>
    <row r="684">
      <c r="B684" s="79"/>
      <c r="E684" s="79"/>
    </row>
    <row r="685">
      <c r="B685" s="79"/>
      <c r="E685" s="79"/>
    </row>
    <row r="686">
      <c r="B686" s="79"/>
      <c r="E686" s="79"/>
    </row>
    <row r="687">
      <c r="B687" s="79"/>
      <c r="E687" s="79"/>
    </row>
    <row r="688">
      <c r="B688" s="79"/>
      <c r="E688" s="79"/>
    </row>
    <row r="689">
      <c r="B689" s="79"/>
      <c r="E689" s="79"/>
    </row>
    <row r="690">
      <c r="B690" s="79"/>
      <c r="E690" s="79"/>
    </row>
    <row r="691">
      <c r="B691" s="79"/>
      <c r="E691" s="79"/>
    </row>
    <row r="692">
      <c r="B692" s="79"/>
      <c r="E692" s="79"/>
    </row>
    <row r="693">
      <c r="B693" s="79"/>
      <c r="E693" s="79"/>
    </row>
    <row r="694">
      <c r="B694" s="79"/>
      <c r="E694" s="79"/>
    </row>
    <row r="695">
      <c r="B695" s="79"/>
      <c r="E695" s="79"/>
    </row>
    <row r="696">
      <c r="B696" s="79"/>
      <c r="E696" s="79"/>
    </row>
    <row r="697">
      <c r="B697" s="79"/>
      <c r="E697" s="79"/>
    </row>
    <row r="698">
      <c r="B698" s="79"/>
      <c r="E698" s="79"/>
    </row>
    <row r="699">
      <c r="B699" s="79"/>
      <c r="E699" s="79"/>
    </row>
    <row r="700">
      <c r="B700" s="79"/>
      <c r="E700" s="79"/>
    </row>
    <row r="701">
      <c r="B701" s="79"/>
      <c r="E701" s="79"/>
    </row>
    <row r="702">
      <c r="B702" s="79"/>
      <c r="E702" s="79"/>
    </row>
    <row r="703">
      <c r="B703" s="79"/>
      <c r="E703" s="79"/>
    </row>
    <row r="704">
      <c r="B704" s="79"/>
      <c r="E704" s="79"/>
    </row>
    <row r="705">
      <c r="B705" s="79"/>
      <c r="E705" s="79"/>
    </row>
    <row r="706">
      <c r="B706" s="79"/>
      <c r="E706" s="79"/>
    </row>
    <row r="707">
      <c r="B707" s="79"/>
      <c r="E707" s="79"/>
    </row>
    <row r="708">
      <c r="B708" s="79"/>
      <c r="E708" s="79"/>
    </row>
    <row r="709">
      <c r="B709" s="79"/>
      <c r="E709" s="79"/>
    </row>
    <row r="710">
      <c r="B710" s="79"/>
      <c r="E710" s="79"/>
    </row>
    <row r="711">
      <c r="B711" s="79"/>
      <c r="E711" s="79"/>
    </row>
    <row r="712">
      <c r="B712" s="79"/>
      <c r="E712" s="79"/>
    </row>
    <row r="713">
      <c r="B713" s="79"/>
      <c r="E713" s="79"/>
    </row>
    <row r="714">
      <c r="B714" s="79"/>
      <c r="E714" s="79"/>
    </row>
    <row r="715">
      <c r="B715" s="79"/>
      <c r="E715" s="79"/>
    </row>
    <row r="716">
      <c r="B716" s="79"/>
      <c r="E716" s="79"/>
    </row>
    <row r="717">
      <c r="B717" s="79"/>
      <c r="E717" s="79"/>
    </row>
    <row r="718">
      <c r="B718" s="79"/>
      <c r="E718" s="79"/>
    </row>
    <row r="719">
      <c r="B719" s="79"/>
      <c r="E719" s="79"/>
    </row>
    <row r="720">
      <c r="B720" s="79"/>
      <c r="E720" s="79"/>
    </row>
    <row r="721">
      <c r="B721" s="79"/>
      <c r="E721" s="79"/>
    </row>
    <row r="722">
      <c r="B722" s="79"/>
      <c r="E722" s="79"/>
    </row>
    <row r="723">
      <c r="B723" s="79"/>
      <c r="E723" s="79"/>
    </row>
    <row r="724">
      <c r="B724" s="79"/>
      <c r="E724" s="79"/>
    </row>
    <row r="725">
      <c r="B725" s="79"/>
      <c r="E725" s="79"/>
    </row>
    <row r="726">
      <c r="B726" s="79"/>
      <c r="E726" s="79"/>
    </row>
    <row r="727">
      <c r="B727" s="79"/>
      <c r="E727" s="79"/>
    </row>
    <row r="728">
      <c r="B728" s="79"/>
      <c r="E728" s="79"/>
    </row>
    <row r="729">
      <c r="B729" s="79"/>
      <c r="E729" s="79"/>
    </row>
    <row r="730">
      <c r="B730" s="79"/>
      <c r="E730" s="79"/>
    </row>
    <row r="731">
      <c r="B731" s="79"/>
      <c r="E731" s="79"/>
    </row>
    <row r="732">
      <c r="B732" s="79"/>
      <c r="E732" s="79"/>
    </row>
    <row r="733">
      <c r="B733" s="79"/>
      <c r="E733" s="79"/>
    </row>
    <row r="734">
      <c r="B734" s="79"/>
      <c r="E734" s="79"/>
    </row>
    <row r="735">
      <c r="B735" s="79"/>
      <c r="E735" s="79"/>
    </row>
    <row r="736">
      <c r="B736" s="79"/>
      <c r="E736" s="79"/>
    </row>
    <row r="737">
      <c r="B737" s="79"/>
      <c r="E737" s="79"/>
    </row>
    <row r="738">
      <c r="B738" s="79"/>
      <c r="E738" s="79"/>
    </row>
    <row r="739">
      <c r="B739" s="79"/>
      <c r="E739" s="79"/>
    </row>
    <row r="740">
      <c r="B740" s="79"/>
      <c r="E740" s="79"/>
    </row>
    <row r="741">
      <c r="B741" s="79"/>
      <c r="E741" s="79"/>
    </row>
    <row r="742">
      <c r="B742" s="79"/>
      <c r="E742" s="79"/>
    </row>
    <row r="743">
      <c r="B743" s="79"/>
      <c r="E743" s="79"/>
    </row>
    <row r="744">
      <c r="B744" s="79"/>
      <c r="E744" s="79"/>
    </row>
    <row r="745">
      <c r="B745" s="79"/>
      <c r="E745" s="79"/>
    </row>
    <row r="746">
      <c r="B746" s="79"/>
      <c r="E746" s="79"/>
    </row>
    <row r="747">
      <c r="B747" s="79"/>
      <c r="E747" s="79"/>
    </row>
    <row r="748">
      <c r="B748" s="79"/>
      <c r="E748" s="79"/>
    </row>
    <row r="749">
      <c r="B749" s="79"/>
      <c r="E749" s="79"/>
    </row>
    <row r="750">
      <c r="B750" s="79"/>
      <c r="E750" s="79"/>
    </row>
    <row r="751">
      <c r="B751" s="79"/>
      <c r="E751" s="79"/>
    </row>
    <row r="752">
      <c r="B752" s="79"/>
      <c r="E752" s="79"/>
    </row>
    <row r="753">
      <c r="B753" s="79"/>
      <c r="E753" s="79"/>
    </row>
    <row r="754">
      <c r="B754" s="79"/>
      <c r="E754" s="79"/>
    </row>
    <row r="755">
      <c r="B755" s="79"/>
      <c r="E755" s="79"/>
    </row>
    <row r="756">
      <c r="B756" s="79"/>
      <c r="E756" s="79"/>
    </row>
    <row r="757">
      <c r="B757" s="79"/>
      <c r="E757" s="79"/>
    </row>
    <row r="758">
      <c r="B758" s="79"/>
      <c r="E758" s="79"/>
    </row>
    <row r="759">
      <c r="B759" s="79"/>
      <c r="E759" s="79"/>
    </row>
    <row r="760">
      <c r="B760" s="79"/>
      <c r="E760" s="79"/>
    </row>
    <row r="761">
      <c r="B761" s="79"/>
      <c r="E761" s="79"/>
    </row>
    <row r="762">
      <c r="B762" s="79"/>
      <c r="E762" s="79"/>
    </row>
    <row r="763">
      <c r="B763" s="79"/>
      <c r="E763" s="79"/>
    </row>
    <row r="764">
      <c r="B764" s="79"/>
      <c r="E764" s="79"/>
    </row>
    <row r="765">
      <c r="B765" s="79"/>
      <c r="E765" s="79"/>
    </row>
    <row r="766">
      <c r="B766" s="79"/>
      <c r="E766" s="79"/>
    </row>
    <row r="767">
      <c r="B767" s="79"/>
      <c r="E767" s="79"/>
    </row>
    <row r="768">
      <c r="B768" s="79"/>
      <c r="E768" s="79"/>
    </row>
    <row r="769">
      <c r="B769" s="79"/>
      <c r="E769" s="79"/>
    </row>
    <row r="770">
      <c r="B770" s="79"/>
      <c r="E770" s="79"/>
    </row>
    <row r="771">
      <c r="B771" s="79"/>
      <c r="E771" s="79"/>
    </row>
    <row r="772">
      <c r="B772" s="79"/>
      <c r="E772" s="79"/>
    </row>
    <row r="773">
      <c r="B773" s="79"/>
      <c r="E773" s="79"/>
    </row>
    <row r="774">
      <c r="B774" s="79"/>
      <c r="E774" s="79"/>
    </row>
    <row r="775">
      <c r="B775" s="79"/>
      <c r="E775" s="79"/>
    </row>
    <row r="776">
      <c r="B776" s="79"/>
      <c r="E776" s="79"/>
    </row>
    <row r="777">
      <c r="B777" s="79"/>
      <c r="E777" s="79"/>
    </row>
    <row r="778">
      <c r="B778" s="79"/>
      <c r="E778" s="79"/>
    </row>
    <row r="779">
      <c r="B779" s="79"/>
      <c r="E779" s="79"/>
    </row>
    <row r="780">
      <c r="B780" s="79"/>
      <c r="E780" s="79"/>
    </row>
    <row r="781">
      <c r="B781" s="79"/>
      <c r="E781" s="79"/>
    </row>
    <row r="782">
      <c r="B782" s="79"/>
      <c r="E782" s="79"/>
    </row>
    <row r="783">
      <c r="B783" s="79"/>
      <c r="E783" s="79"/>
    </row>
    <row r="784">
      <c r="B784" s="79"/>
      <c r="E784" s="79"/>
    </row>
    <row r="785">
      <c r="B785" s="79"/>
      <c r="E785" s="79"/>
    </row>
    <row r="786">
      <c r="B786" s="79"/>
      <c r="E786" s="79"/>
    </row>
    <row r="787">
      <c r="B787" s="79"/>
      <c r="E787" s="79"/>
    </row>
    <row r="788">
      <c r="B788" s="79"/>
      <c r="E788" s="79"/>
    </row>
    <row r="789">
      <c r="B789" s="79"/>
      <c r="E789" s="79"/>
    </row>
    <row r="790">
      <c r="B790" s="79"/>
      <c r="E790" s="79"/>
    </row>
    <row r="791">
      <c r="B791" s="79"/>
      <c r="E791" s="79"/>
    </row>
    <row r="792">
      <c r="B792" s="79"/>
      <c r="E792" s="79"/>
    </row>
    <row r="793">
      <c r="B793" s="79"/>
      <c r="E793" s="79"/>
    </row>
    <row r="794">
      <c r="B794" s="79"/>
      <c r="E794" s="79"/>
    </row>
    <row r="795">
      <c r="B795" s="79"/>
      <c r="E795" s="79"/>
    </row>
    <row r="796">
      <c r="B796" s="79"/>
      <c r="E796" s="79"/>
    </row>
    <row r="797">
      <c r="B797" s="79"/>
      <c r="E797" s="79"/>
    </row>
    <row r="798">
      <c r="B798" s="79"/>
      <c r="E798" s="79"/>
    </row>
    <row r="799">
      <c r="B799" s="79"/>
      <c r="E799" s="79"/>
    </row>
    <row r="800">
      <c r="B800" s="79"/>
      <c r="E800" s="79"/>
    </row>
    <row r="801">
      <c r="B801" s="79"/>
      <c r="E801" s="79"/>
    </row>
    <row r="802">
      <c r="B802" s="79"/>
      <c r="E802" s="79"/>
    </row>
    <row r="803">
      <c r="B803" s="79"/>
      <c r="E803" s="79"/>
    </row>
    <row r="804">
      <c r="B804" s="79"/>
      <c r="E804" s="79"/>
    </row>
    <row r="805">
      <c r="B805" s="79"/>
      <c r="E805" s="79"/>
    </row>
    <row r="806">
      <c r="B806" s="79"/>
      <c r="E806" s="79"/>
    </row>
    <row r="807">
      <c r="B807" s="79"/>
      <c r="E807" s="79"/>
    </row>
    <row r="808">
      <c r="B808" s="79"/>
      <c r="E808" s="79"/>
    </row>
    <row r="809">
      <c r="B809" s="79"/>
      <c r="E809" s="79"/>
    </row>
    <row r="810">
      <c r="B810" s="79"/>
      <c r="E810" s="79"/>
    </row>
    <row r="811">
      <c r="B811" s="79"/>
      <c r="E811" s="79"/>
    </row>
    <row r="812">
      <c r="B812" s="79"/>
      <c r="E812" s="79"/>
    </row>
    <row r="813">
      <c r="B813" s="79"/>
      <c r="E813" s="79"/>
    </row>
    <row r="814">
      <c r="B814" s="79"/>
      <c r="E814" s="79"/>
    </row>
    <row r="815">
      <c r="B815" s="79"/>
      <c r="E815" s="79"/>
    </row>
    <row r="816">
      <c r="B816" s="79"/>
      <c r="E816" s="79"/>
    </row>
    <row r="817">
      <c r="B817" s="79"/>
      <c r="E817" s="79"/>
    </row>
    <row r="818">
      <c r="B818" s="79"/>
      <c r="E818" s="79"/>
    </row>
    <row r="819">
      <c r="B819" s="79"/>
      <c r="E819" s="79"/>
    </row>
    <row r="820">
      <c r="B820" s="79"/>
      <c r="E820" s="79"/>
    </row>
    <row r="821">
      <c r="B821" s="79"/>
      <c r="E821" s="79"/>
    </row>
    <row r="822">
      <c r="B822" s="79"/>
      <c r="E822" s="79"/>
    </row>
    <row r="823">
      <c r="B823" s="79"/>
      <c r="E823" s="79"/>
    </row>
    <row r="824">
      <c r="B824" s="79"/>
      <c r="E824" s="79"/>
    </row>
    <row r="825">
      <c r="B825" s="79"/>
      <c r="E825" s="79"/>
    </row>
    <row r="826">
      <c r="B826" s="79"/>
      <c r="E826" s="79"/>
    </row>
    <row r="827">
      <c r="B827" s="79"/>
      <c r="E827" s="79"/>
    </row>
    <row r="828">
      <c r="B828" s="79"/>
      <c r="E828" s="79"/>
    </row>
    <row r="829">
      <c r="B829" s="79"/>
      <c r="E829" s="79"/>
    </row>
    <row r="830">
      <c r="B830" s="79"/>
      <c r="E830" s="79"/>
    </row>
    <row r="831">
      <c r="B831" s="79"/>
      <c r="E831" s="79"/>
    </row>
    <row r="832">
      <c r="B832" s="79"/>
      <c r="E832" s="79"/>
    </row>
    <row r="833">
      <c r="B833" s="79"/>
      <c r="E833" s="79"/>
    </row>
    <row r="834">
      <c r="B834" s="79"/>
      <c r="E834" s="79"/>
    </row>
    <row r="835">
      <c r="B835" s="79"/>
      <c r="E835" s="79"/>
    </row>
    <row r="836">
      <c r="B836" s="79"/>
      <c r="E836" s="79"/>
    </row>
    <row r="837">
      <c r="B837" s="79"/>
      <c r="E837" s="79"/>
    </row>
    <row r="838">
      <c r="B838" s="79"/>
      <c r="E838" s="79"/>
    </row>
    <row r="839">
      <c r="B839" s="79"/>
      <c r="E839" s="79"/>
    </row>
    <row r="840">
      <c r="B840" s="79"/>
      <c r="E840" s="79"/>
    </row>
    <row r="841">
      <c r="B841" s="79"/>
      <c r="E841" s="79"/>
    </row>
    <row r="842">
      <c r="B842" s="79"/>
      <c r="E842" s="79"/>
    </row>
    <row r="843">
      <c r="B843" s="79"/>
      <c r="E843" s="79"/>
    </row>
    <row r="844">
      <c r="B844" s="79"/>
      <c r="E844" s="79"/>
    </row>
    <row r="845">
      <c r="B845" s="79"/>
      <c r="E845" s="79"/>
    </row>
    <row r="846">
      <c r="B846" s="79"/>
      <c r="E846" s="79"/>
    </row>
    <row r="847">
      <c r="B847" s="79"/>
      <c r="E847" s="79"/>
    </row>
    <row r="848">
      <c r="B848" s="79"/>
      <c r="E848" s="79"/>
    </row>
    <row r="849">
      <c r="B849" s="79"/>
      <c r="E849" s="79"/>
    </row>
    <row r="850">
      <c r="B850" s="79"/>
      <c r="E850" s="79"/>
    </row>
    <row r="851">
      <c r="B851" s="79"/>
      <c r="E851" s="79"/>
    </row>
    <row r="852">
      <c r="B852" s="79"/>
      <c r="E852" s="79"/>
    </row>
    <row r="853">
      <c r="B853" s="79"/>
      <c r="E853" s="79"/>
    </row>
    <row r="854">
      <c r="B854" s="79"/>
      <c r="E854" s="79"/>
    </row>
    <row r="855">
      <c r="B855" s="79"/>
      <c r="E855" s="79"/>
    </row>
    <row r="856">
      <c r="B856" s="79"/>
      <c r="E856" s="79"/>
    </row>
    <row r="857">
      <c r="B857" s="79"/>
      <c r="E857" s="79"/>
    </row>
    <row r="858">
      <c r="B858" s="79"/>
      <c r="E858" s="79"/>
    </row>
    <row r="859">
      <c r="B859" s="79"/>
      <c r="E859" s="79"/>
    </row>
    <row r="860">
      <c r="B860" s="79"/>
      <c r="E860" s="79"/>
    </row>
    <row r="861">
      <c r="B861" s="79"/>
      <c r="E861" s="79"/>
    </row>
    <row r="862">
      <c r="B862" s="79"/>
      <c r="E862" s="79"/>
    </row>
    <row r="863">
      <c r="B863" s="79"/>
      <c r="E863" s="79"/>
    </row>
    <row r="864">
      <c r="B864" s="79"/>
      <c r="E864" s="79"/>
    </row>
    <row r="865">
      <c r="B865" s="79"/>
      <c r="E865" s="79"/>
    </row>
    <row r="866">
      <c r="B866" s="79"/>
      <c r="E866" s="79"/>
    </row>
    <row r="867">
      <c r="B867" s="79"/>
      <c r="E867" s="79"/>
    </row>
    <row r="868">
      <c r="B868" s="79"/>
      <c r="E868" s="79"/>
    </row>
    <row r="869">
      <c r="B869" s="79"/>
      <c r="E869" s="79"/>
    </row>
    <row r="870">
      <c r="B870" s="79"/>
      <c r="E870" s="79"/>
    </row>
    <row r="871">
      <c r="B871" s="79"/>
      <c r="E871" s="79"/>
    </row>
    <row r="872">
      <c r="B872" s="79"/>
      <c r="E872" s="79"/>
    </row>
    <row r="873">
      <c r="B873" s="79"/>
      <c r="E873" s="79"/>
    </row>
    <row r="874">
      <c r="B874" s="79"/>
      <c r="E874" s="79"/>
    </row>
    <row r="875">
      <c r="B875" s="79"/>
      <c r="E875" s="79"/>
    </row>
    <row r="876">
      <c r="B876" s="79"/>
      <c r="E876" s="79"/>
    </row>
    <row r="877">
      <c r="B877" s="79"/>
      <c r="E877" s="79"/>
    </row>
    <row r="878">
      <c r="B878" s="79"/>
      <c r="E878" s="79"/>
    </row>
    <row r="879">
      <c r="B879" s="79"/>
      <c r="E879" s="79"/>
    </row>
    <row r="880">
      <c r="B880" s="79"/>
      <c r="E880" s="79"/>
    </row>
    <row r="881">
      <c r="B881" s="79"/>
      <c r="E881" s="79"/>
    </row>
    <row r="882">
      <c r="B882" s="79"/>
      <c r="E882" s="79"/>
    </row>
    <row r="883">
      <c r="B883" s="79"/>
      <c r="E883" s="79"/>
    </row>
    <row r="884">
      <c r="B884" s="79"/>
      <c r="E884" s="79"/>
    </row>
    <row r="885">
      <c r="B885" s="79"/>
      <c r="E885" s="79"/>
    </row>
    <row r="886">
      <c r="B886" s="79"/>
      <c r="E886" s="79"/>
    </row>
    <row r="887">
      <c r="B887" s="79"/>
      <c r="E887" s="79"/>
    </row>
    <row r="888">
      <c r="B888" s="79"/>
      <c r="E888" s="79"/>
    </row>
    <row r="889">
      <c r="B889" s="79"/>
      <c r="E889" s="79"/>
    </row>
    <row r="890">
      <c r="B890" s="79"/>
      <c r="E890" s="79"/>
    </row>
    <row r="891">
      <c r="B891" s="79"/>
      <c r="E891" s="79"/>
    </row>
    <row r="892">
      <c r="B892" s="79"/>
      <c r="E892" s="79"/>
    </row>
    <row r="893">
      <c r="B893" s="79"/>
      <c r="E893" s="79"/>
    </row>
    <row r="894">
      <c r="B894" s="79"/>
      <c r="E894" s="79"/>
    </row>
    <row r="895">
      <c r="B895" s="79"/>
      <c r="E895" s="79"/>
    </row>
    <row r="896">
      <c r="B896" s="79"/>
      <c r="E896" s="79"/>
    </row>
    <row r="897">
      <c r="B897" s="79"/>
      <c r="E897" s="79"/>
    </row>
    <row r="898">
      <c r="B898" s="79"/>
      <c r="E898" s="79"/>
    </row>
    <row r="899">
      <c r="B899" s="79"/>
      <c r="E899" s="79"/>
    </row>
    <row r="900">
      <c r="B900" s="79"/>
      <c r="E900" s="79"/>
    </row>
    <row r="901">
      <c r="B901" s="79"/>
      <c r="E901" s="79"/>
    </row>
    <row r="902">
      <c r="B902" s="79"/>
      <c r="E902" s="79"/>
    </row>
    <row r="903">
      <c r="B903" s="79"/>
      <c r="E903" s="79"/>
    </row>
    <row r="904">
      <c r="B904" s="79"/>
      <c r="E904" s="79"/>
    </row>
    <row r="905">
      <c r="B905" s="79"/>
      <c r="E905" s="79"/>
    </row>
    <row r="906">
      <c r="B906" s="79"/>
      <c r="E906" s="79"/>
    </row>
    <row r="907">
      <c r="B907" s="79"/>
      <c r="E907" s="79"/>
    </row>
    <row r="908">
      <c r="B908" s="79"/>
      <c r="E908" s="79"/>
    </row>
    <row r="909">
      <c r="B909" s="79"/>
      <c r="E909" s="79"/>
    </row>
    <row r="910">
      <c r="B910" s="79"/>
      <c r="E910" s="79"/>
    </row>
    <row r="911">
      <c r="B911" s="79"/>
      <c r="E911" s="79"/>
    </row>
    <row r="912">
      <c r="B912" s="79"/>
      <c r="E912" s="79"/>
    </row>
    <row r="913">
      <c r="B913" s="79"/>
      <c r="E913" s="79"/>
    </row>
    <row r="914">
      <c r="B914" s="79"/>
      <c r="E914" s="79"/>
    </row>
    <row r="915">
      <c r="B915" s="79"/>
      <c r="E915" s="79"/>
    </row>
    <row r="916">
      <c r="B916" s="79"/>
      <c r="E916" s="79"/>
    </row>
    <row r="917">
      <c r="B917" s="79"/>
      <c r="E917" s="79"/>
    </row>
    <row r="918">
      <c r="B918" s="79"/>
      <c r="E918" s="79"/>
    </row>
    <row r="919">
      <c r="B919" s="79"/>
      <c r="E919" s="79"/>
    </row>
    <row r="920">
      <c r="B920" s="79"/>
      <c r="E920" s="79"/>
    </row>
    <row r="921">
      <c r="B921" s="79"/>
      <c r="E921" s="79"/>
    </row>
    <row r="922">
      <c r="B922" s="79"/>
      <c r="E922" s="79"/>
    </row>
    <row r="923">
      <c r="B923" s="79"/>
      <c r="E923" s="79"/>
    </row>
    <row r="924">
      <c r="B924" s="79"/>
      <c r="E924" s="79"/>
    </row>
    <row r="925">
      <c r="B925" s="79"/>
      <c r="E925" s="79"/>
    </row>
    <row r="926">
      <c r="B926" s="79"/>
      <c r="E926" s="79"/>
    </row>
    <row r="927">
      <c r="B927" s="79"/>
      <c r="E927" s="79"/>
    </row>
    <row r="928">
      <c r="B928" s="79"/>
      <c r="E928" s="79"/>
    </row>
    <row r="929">
      <c r="B929" s="79"/>
      <c r="E929" s="79"/>
    </row>
    <row r="930">
      <c r="B930" s="79"/>
      <c r="E930" s="79"/>
    </row>
    <row r="931">
      <c r="B931" s="79"/>
      <c r="E931" s="79"/>
    </row>
    <row r="932">
      <c r="B932" s="79"/>
      <c r="E932" s="79"/>
    </row>
    <row r="933">
      <c r="B933" s="79"/>
      <c r="E933" s="79"/>
    </row>
    <row r="934">
      <c r="B934" s="79"/>
      <c r="E934" s="79"/>
    </row>
    <row r="935">
      <c r="B935" s="79"/>
      <c r="E935" s="79"/>
    </row>
    <row r="936">
      <c r="B936" s="79"/>
      <c r="E936" s="79"/>
    </row>
    <row r="937">
      <c r="B937" s="79"/>
      <c r="E937" s="79"/>
    </row>
    <row r="938">
      <c r="B938" s="79"/>
      <c r="E938" s="79"/>
    </row>
    <row r="939">
      <c r="B939" s="79"/>
      <c r="E939" s="79"/>
    </row>
    <row r="940">
      <c r="B940" s="79"/>
      <c r="E940" s="79"/>
    </row>
    <row r="941">
      <c r="B941" s="79"/>
      <c r="E941" s="79"/>
    </row>
    <row r="942">
      <c r="B942" s="79"/>
      <c r="E942" s="79"/>
    </row>
    <row r="943">
      <c r="B943" s="79"/>
      <c r="E943" s="79"/>
    </row>
    <row r="944">
      <c r="B944" s="79"/>
      <c r="E944" s="79"/>
    </row>
    <row r="945">
      <c r="B945" s="79"/>
      <c r="E945" s="79"/>
    </row>
    <row r="946">
      <c r="B946" s="79"/>
      <c r="E946" s="79"/>
    </row>
    <row r="947">
      <c r="B947" s="79"/>
      <c r="E947" s="79"/>
    </row>
    <row r="948">
      <c r="B948" s="79"/>
      <c r="E948" s="79"/>
    </row>
    <row r="949">
      <c r="B949" s="79"/>
      <c r="E949" s="79"/>
    </row>
    <row r="950">
      <c r="B950" s="79"/>
      <c r="E950" s="79"/>
    </row>
    <row r="951">
      <c r="B951" s="79"/>
      <c r="E951" s="79"/>
    </row>
    <row r="952">
      <c r="B952" s="79"/>
      <c r="E952" s="79"/>
    </row>
    <row r="953">
      <c r="B953" s="79"/>
      <c r="E953" s="79"/>
    </row>
    <row r="954">
      <c r="B954" s="79"/>
      <c r="E954" s="79"/>
    </row>
    <row r="955">
      <c r="B955" s="79"/>
      <c r="E955" s="79"/>
    </row>
    <row r="956">
      <c r="B956" s="79"/>
      <c r="E956" s="79"/>
    </row>
    <row r="957">
      <c r="B957" s="79"/>
      <c r="E957" s="79"/>
    </row>
    <row r="958">
      <c r="B958" s="79"/>
      <c r="E958" s="79"/>
    </row>
    <row r="959">
      <c r="B959" s="79"/>
      <c r="E959" s="79"/>
    </row>
    <row r="960">
      <c r="B960" s="79"/>
      <c r="E960" s="79"/>
    </row>
    <row r="961">
      <c r="B961" s="79"/>
      <c r="E961" s="79"/>
    </row>
    <row r="962">
      <c r="B962" s="79"/>
      <c r="E962" s="79"/>
    </row>
    <row r="963">
      <c r="B963" s="79"/>
      <c r="E963" s="79"/>
    </row>
    <row r="964">
      <c r="B964" s="79"/>
      <c r="E964" s="79"/>
    </row>
    <row r="965">
      <c r="B965" s="79"/>
      <c r="E965" s="79"/>
    </row>
    <row r="966">
      <c r="B966" s="79"/>
      <c r="E966" s="79"/>
    </row>
    <row r="967">
      <c r="B967" s="79"/>
      <c r="E967" s="79"/>
    </row>
    <row r="968">
      <c r="B968" s="79"/>
      <c r="E968" s="79"/>
    </row>
    <row r="969">
      <c r="B969" s="79"/>
      <c r="E969" s="79"/>
    </row>
    <row r="970">
      <c r="B970" s="79"/>
      <c r="E970" s="79"/>
    </row>
    <row r="971">
      <c r="B971" s="79"/>
      <c r="E971" s="79"/>
    </row>
    <row r="972">
      <c r="B972" s="79"/>
      <c r="E972" s="79"/>
    </row>
    <row r="973">
      <c r="B973" s="79"/>
      <c r="E973" s="79"/>
    </row>
    <row r="974">
      <c r="B974" s="79"/>
      <c r="E974" s="79"/>
    </row>
    <row r="975">
      <c r="B975" s="79"/>
      <c r="E975" s="79"/>
    </row>
    <row r="976">
      <c r="B976" s="79"/>
      <c r="E976" s="79"/>
    </row>
    <row r="977">
      <c r="B977" s="79"/>
      <c r="E977" s="79"/>
    </row>
    <row r="978">
      <c r="B978" s="79"/>
      <c r="E978" s="79"/>
    </row>
    <row r="979">
      <c r="B979" s="79"/>
      <c r="E979" s="79"/>
    </row>
    <row r="980">
      <c r="B980" s="79"/>
      <c r="E980" s="79"/>
    </row>
    <row r="981">
      <c r="B981" s="79"/>
      <c r="E981" s="79"/>
    </row>
    <row r="982">
      <c r="B982" s="79"/>
      <c r="E982" s="79"/>
    </row>
    <row r="983">
      <c r="B983" s="79"/>
      <c r="E983" s="79"/>
    </row>
    <row r="984">
      <c r="B984" s="79"/>
      <c r="E984" s="79"/>
    </row>
    <row r="985">
      <c r="B985" s="79"/>
      <c r="E985" s="79"/>
    </row>
    <row r="986">
      <c r="B986" s="79"/>
      <c r="E986" s="79"/>
    </row>
    <row r="987">
      <c r="B987" s="79"/>
      <c r="E987" s="79"/>
    </row>
    <row r="988">
      <c r="B988" s="79"/>
      <c r="E988" s="79"/>
    </row>
    <row r="989">
      <c r="B989" s="79"/>
      <c r="E989" s="79"/>
    </row>
    <row r="990">
      <c r="B990" s="79"/>
      <c r="E990" s="79"/>
    </row>
    <row r="991">
      <c r="B991" s="79"/>
      <c r="E991" s="79"/>
    </row>
    <row r="992">
      <c r="B992" s="79"/>
      <c r="E992" s="79"/>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50.13"/>
    <col customWidth="1" min="3" max="3" width="16.5"/>
    <col customWidth="1" min="5" max="5" width="49.13"/>
  </cols>
  <sheetData>
    <row r="1">
      <c r="A1" s="6" t="s">
        <v>475</v>
      </c>
      <c r="B1" s="88" t="s">
        <v>476</v>
      </c>
      <c r="C1" s="6" t="s">
        <v>477</v>
      </c>
      <c r="D1" s="6" t="s">
        <v>37</v>
      </c>
      <c r="E1" s="88" t="s">
        <v>478</v>
      </c>
      <c r="F1" s="6" t="s">
        <v>499</v>
      </c>
      <c r="G1" s="6"/>
      <c r="H1" s="6"/>
      <c r="I1" s="6"/>
      <c r="J1" s="6"/>
      <c r="K1" s="6"/>
    </row>
    <row r="2">
      <c r="A2" s="13" t="s">
        <v>500</v>
      </c>
      <c r="B2" s="20"/>
      <c r="D2" s="24">
        <v>0.0</v>
      </c>
      <c r="E2" s="20"/>
      <c r="F2" s="90">
        <v>45596.0</v>
      </c>
      <c r="G2" s="13" t="s">
        <v>501</v>
      </c>
    </row>
    <row r="3">
      <c r="A3" s="13" t="s">
        <v>502</v>
      </c>
      <c r="B3" s="20"/>
      <c r="D3" s="24">
        <v>0.5</v>
      </c>
      <c r="E3" s="20" t="s">
        <v>503</v>
      </c>
      <c r="F3" s="90">
        <v>45596.0</v>
      </c>
    </row>
    <row r="4">
      <c r="A4" s="13" t="s">
        <v>504</v>
      </c>
      <c r="D4" s="24">
        <v>0.5</v>
      </c>
      <c r="E4" s="20" t="s">
        <v>505</v>
      </c>
      <c r="F4" s="90">
        <v>45604.0</v>
      </c>
    </row>
    <row r="5">
      <c r="A5" s="13" t="s">
        <v>500</v>
      </c>
      <c r="D5" s="24">
        <v>0.01</v>
      </c>
      <c r="E5" s="20" t="s">
        <v>506</v>
      </c>
      <c r="F5" s="90">
        <v>45604.0</v>
      </c>
    </row>
    <row r="6">
      <c r="A6" s="13" t="s">
        <v>504</v>
      </c>
      <c r="B6" s="20"/>
      <c r="C6" s="20"/>
      <c r="E6" s="20" t="s">
        <v>507</v>
      </c>
      <c r="F6" s="90">
        <v>45610.0</v>
      </c>
    </row>
    <row r="7">
      <c r="A7" s="13" t="s">
        <v>504</v>
      </c>
      <c r="B7" s="20"/>
      <c r="E7" s="20" t="s">
        <v>508</v>
      </c>
      <c r="F7" s="90">
        <v>45617.0</v>
      </c>
    </row>
    <row r="8">
      <c r="A8" s="13" t="s">
        <v>504</v>
      </c>
      <c r="B8" s="20"/>
      <c r="D8" s="24">
        <v>0.75</v>
      </c>
      <c r="E8" s="20" t="s">
        <v>509</v>
      </c>
      <c r="F8" s="90">
        <v>45631.0</v>
      </c>
    </row>
    <row r="9">
      <c r="A9" s="13" t="s">
        <v>504</v>
      </c>
      <c r="B9" s="20"/>
      <c r="D9" s="24">
        <v>0.75</v>
      </c>
      <c r="E9" s="20" t="s">
        <v>510</v>
      </c>
      <c r="F9" s="90">
        <v>45639.0</v>
      </c>
    </row>
    <row r="10">
      <c r="B10" s="20"/>
      <c r="D10" s="24">
        <v>0.75</v>
      </c>
      <c r="E10" s="20" t="s">
        <v>511</v>
      </c>
      <c r="F10" s="90">
        <v>45646.0</v>
      </c>
    </row>
    <row r="11">
      <c r="B11" s="20"/>
      <c r="D11" s="24">
        <v>0.25</v>
      </c>
      <c r="E11" s="20" t="s">
        <v>512</v>
      </c>
      <c r="F11" s="90">
        <v>46018.0</v>
      </c>
    </row>
    <row r="12">
      <c r="B12" s="20"/>
      <c r="D12" s="24">
        <v>0.25</v>
      </c>
      <c r="E12" s="20" t="s">
        <v>513</v>
      </c>
      <c r="F12" s="90">
        <v>45660.0</v>
      </c>
    </row>
    <row r="13">
      <c r="D13" s="24">
        <v>0.4</v>
      </c>
      <c r="E13" s="20" t="s">
        <v>514</v>
      </c>
      <c r="F13" s="90">
        <v>45666.0</v>
      </c>
    </row>
    <row r="14">
      <c r="D14" s="24">
        <v>0.3</v>
      </c>
      <c r="E14" s="20" t="s">
        <v>515</v>
      </c>
      <c r="F14" s="36">
        <v>45674.0</v>
      </c>
    </row>
    <row r="15">
      <c r="D15" s="24">
        <v>0.3</v>
      </c>
      <c r="E15" s="20" t="s">
        <v>516</v>
      </c>
      <c r="F15" s="90">
        <v>45681.0</v>
      </c>
    </row>
    <row r="16">
      <c r="D16" s="24">
        <v>0.3</v>
      </c>
      <c r="E16" s="20" t="s">
        <v>517</v>
      </c>
      <c r="F16" s="90">
        <v>45688.0</v>
      </c>
    </row>
    <row r="17">
      <c r="D17" s="24">
        <v>0.4</v>
      </c>
      <c r="E17" s="20" t="s">
        <v>518</v>
      </c>
      <c r="F17" s="90">
        <v>45694.0</v>
      </c>
    </row>
    <row r="18">
      <c r="D18" s="24">
        <v>0.6</v>
      </c>
      <c r="E18" s="20" t="s">
        <v>519</v>
      </c>
      <c r="F18" s="90">
        <v>45701.0</v>
      </c>
    </row>
    <row r="19">
      <c r="D19" s="24">
        <v>0.01</v>
      </c>
      <c r="E19" s="20" t="s">
        <v>520</v>
      </c>
      <c r="F19" s="90">
        <v>45701.0</v>
      </c>
    </row>
    <row r="20">
      <c r="D20" s="24">
        <v>0.7</v>
      </c>
      <c r="E20" s="20" t="s">
        <v>521</v>
      </c>
      <c r="F20" s="90">
        <v>45709.0</v>
      </c>
    </row>
    <row r="21">
      <c r="D21" s="24">
        <v>0.05</v>
      </c>
      <c r="E21" s="20" t="s">
        <v>522</v>
      </c>
      <c r="F21" s="90">
        <v>45709.0</v>
      </c>
    </row>
    <row r="22">
      <c r="D22" s="24">
        <v>0.45</v>
      </c>
      <c r="E22" s="20" t="s">
        <v>523</v>
      </c>
      <c r="F22" s="90">
        <v>45716.0</v>
      </c>
    </row>
    <row r="23">
      <c r="D23" s="24">
        <v>0.05</v>
      </c>
      <c r="E23" s="20" t="s">
        <v>524</v>
      </c>
      <c r="F23" s="90">
        <v>45716.0</v>
      </c>
    </row>
    <row r="24">
      <c r="D24" s="24">
        <v>0.45</v>
      </c>
      <c r="E24" s="20" t="s">
        <v>525</v>
      </c>
      <c r="F24" s="90">
        <v>45723.0</v>
      </c>
    </row>
    <row r="25">
      <c r="D25" s="24">
        <v>0.45</v>
      </c>
      <c r="E25" s="20" t="s">
        <v>526</v>
      </c>
      <c r="F25" s="90">
        <v>45723.0</v>
      </c>
    </row>
    <row r="26">
      <c r="D26" s="24">
        <v>0.4</v>
      </c>
      <c r="E26" s="20" t="s">
        <v>527</v>
      </c>
      <c r="F26" s="90">
        <v>45730.0</v>
      </c>
    </row>
    <row r="27">
      <c r="D27" s="24">
        <v>0.4</v>
      </c>
      <c r="E27" s="20" t="s">
        <v>526</v>
      </c>
      <c r="F27" s="90">
        <v>45730.0</v>
      </c>
    </row>
    <row r="28">
      <c r="D28" s="24">
        <v>0.1</v>
      </c>
      <c r="E28" s="20" t="s">
        <v>528</v>
      </c>
      <c r="F28" s="90">
        <v>45730.0</v>
      </c>
    </row>
    <row r="29">
      <c r="D29" s="24">
        <v>0.6</v>
      </c>
      <c r="E29" s="20" t="s">
        <v>529</v>
      </c>
      <c r="F29" s="36">
        <v>45737.0</v>
      </c>
    </row>
    <row r="30">
      <c r="D30" s="24">
        <v>0.25</v>
      </c>
      <c r="E30" s="20" t="s">
        <v>526</v>
      </c>
    </row>
    <row r="31">
      <c r="D31" s="24">
        <v>0.05</v>
      </c>
      <c r="E31" s="20" t="s">
        <v>530</v>
      </c>
    </row>
    <row r="32">
      <c r="D32" s="24">
        <v>0.8</v>
      </c>
      <c r="E32" s="20" t="s">
        <v>531</v>
      </c>
      <c r="F32" s="90">
        <v>45744.0</v>
      </c>
    </row>
    <row r="33">
      <c r="D33" s="24">
        <v>0.19</v>
      </c>
      <c r="E33" s="20" t="s">
        <v>526</v>
      </c>
    </row>
    <row r="34">
      <c r="D34" s="24">
        <v>0.01</v>
      </c>
      <c r="E34" s="20" t="s">
        <v>532</v>
      </c>
    </row>
    <row r="35">
      <c r="A35" s="13" t="s">
        <v>504</v>
      </c>
      <c r="D35" s="24">
        <v>0.98</v>
      </c>
      <c r="E35" s="20" t="s">
        <v>533</v>
      </c>
      <c r="F35" s="90">
        <v>45751.0</v>
      </c>
    </row>
    <row r="36">
      <c r="D36" s="24">
        <v>0.01</v>
      </c>
      <c r="E36" s="20" t="s">
        <v>526</v>
      </c>
    </row>
    <row r="37">
      <c r="D37" s="24">
        <v>0.01</v>
      </c>
      <c r="E37" s="20" t="s">
        <v>532</v>
      </c>
    </row>
    <row r="38">
      <c r="A38" s="13" t="s">
        <v>504</v>
      </c>
      <c r="D38" s="24">
        <v>0.9</v>
      </c>
      <c r="E38" s="20" t="s">
        <v>534</v>
      </c>
      <c r="F38" s="90">
        <v>45758.0</v>
      </c>
    </row>
    <row r="39">
      <c r="D39" s="24">
        <v>0.05</v>
      </c>
      <c r="E39" s="20" t="s">
        <v>526</v>
      </c>
    </row>
    <row r="40">
      <c r="D40" s="24">
        <v>0.05</v>
      </c>
      <c r="E40" s="20" t="s">
        <v>532</v>
      </c>
    </row>
    <row r="41">
      <c r="A41" s="13" t="s">
        <v>504</v>
      </c>
      <c r="D41" s="24">
        <v>0.9</v>
      </c>
      <c r="E41" s="20" t="s">
        <v>535</v>
      </c>
      <c r="F41" s="36">
        <v>45765.0</v>
      </c>
    </row>
    <row r="42">
      <c r="D42" s="24">
        <v>0.09</v>
      </c>
      <c r="E42" s="20" t="s">
        <v>526</v>
      </c>
    </row>
    <row r="43">
      <c r="D43" s="24">
        <v>0.01</v>
      </c>
      <c r="E43" s="20" t="s">
        <v>532</v>
      </c>
    </row>
    <row r="44">
      <c r="D44" s="24">
        <v>0.99</v>
      </c>
      <c r="E44" s="20" t="s">
        <v>536</v>
      </c>
      <c r="F44" s="90">
        <v>45772.0</v>
      </c>
    </row>
    <row r="45">
      <c r="D45" s="24">
        <v>0.01</v>
      </c>
      <c r="E45" s="20" t="s">
        <v>526</v>
      </c>
    </row>
    <row r="46">
      <c r="D46" s="24">
        <v>0.0</v>
      </c>
      <c r="E46" s="20" t="s">
        <v>532</v>
      </c>
    </row>
    <row r="47">
      <c r="A47" s="13" t="s">
        <v>504</v>
      </c>
      <c r="D47" s="24">
        <v>0.6</v>
      </c>
      <c r="E47" s="20" t="s">
        <v>537</v>
      </c>
      <c r="F47" s="90">
        <v>45779.0</v>
      </c>
    </row>
    <row r="48">
      <c r="A48" s="13" t="s">
        <v>538</v>
      </c>
      <c r="D48" s="24">
        <v>0.4</v>
      </c>
      <c r="E48" s="20" t="s">
        <v>539</v>
      </c>
    </row>
    <row r="49">
      <c r="A49" s="13" t="s">
        <v>504</v>
      </c>
      <c r="D49" s="24">
        <v>0.5</v>
      </c>
      <c r="E49" s="20" t="s">
        <v>540</v>
      </c>
      <c r="F49" s="90">
        <v>45786.0</v>
      </c>
    </row>
    <row r="50">
      <c r="A50" s="13" t="s">
        <v>538</v>
      </c>
      <c r="D50" s="24">
        <v>0.5</v>
      </c>
      <c r="E50" s="20" t="s">
        <v>539</v>
      </c>
    </row>
    <row r="51">
      <c r="A51" s="13" t="s">
        <v>504</v>
      </c>
      <c r="D51" s="24">
        <v>0.5</v>
      </c>
      <c r="E51" s="20" t="s">
        <v>541</v>
      </c>
      <c r="F51" s="90">
        <v>45793.0</v>
      </c>
    </row>
    <row r="52">
      <c r="A52" s="13" t="s">
        <v>542</v>
      </c>
      <c r="D52" s="24">
        <v>0.4</v>
      </c>
      <c r="E52" s="20" t="s">
        <v>543</v>
      </c>
    </row>
    <row r="53">
      <c r="A53" s="13" t="s">
        <v>544</v>
      </c>
      <c r="D53" s="24">
        <v>0.0</v>
      </c>
      <c r="E53" s="20" t="s">
        <v>526</v>
      </c>
    </row>
    <row r="54">
      <c r="D54" s="24">
        <v>0.5</v>
      </c>
      <c r="E54" s="20" t="s">
        <v>545</v>
      </c>
      <c r="F54" s="13" t="s">
        <v>546</v>
      </c>
    </row>
    <row r="55">
      <c r="A55" s="13" t="s">
        <v>542</v>
      </c>
      <c r="D55" s="24">
        <v>0.45</v>
      </c>
      <c r="E55" s="20" t="s">
        <v>547</v>
      </c>
    </row>
    <row r="56">
      <c r="A56" s="13" t="s">
        <v>544</v>
      </c>
      <c r="D56" s="24">
        <v>0.05</v>
      </c>
      <c r="E56" s="20" t="s">
        <v>526</v>
      </c>
    </row>
    <row r="57">
      <c r="A57" s="13" t="s">
        <v>504</v>
      </c>
      <c r="D57" s="24">
        <v>0.4</v>
      </c>
      <c r="E57" s="20" t="s">
        <v>548</v>
      </c>
      <c r="F57" s="90">
        <v>45814.0</v>
      </c>
    </row>
    <row r="58">
      <c r="A58" s="13" t="s">
        <v>542</v>
      </c>
      <c r="D58" s="24">
        <v>0.4</v>
      </c>
      <c r="E58" s="20" t="s">
        <v>549</v>
      </c>
    </row>
    <row r="59">
      <c r="A59" s="13" t="s">
        <v>504</v>
      </c>
      <c r="D59" s="24">
        <v>0.4</v>
      </c>
      <c r="E59" s="20" t="s">
        <v>550</v>
      </c>
      <c r="F59" s="90">
        <v>45821.0</v>
      </c>
    </row>
    <row r="60">
      <c r="A60" s="13" t="s">
        <v>551</v>
      </c>
      <c r="D60" s="24">
        <v>0.5</v>
      </c>
      <c r="E60" s="20" t="s">
        <v>549</v>
      </c>
    </row>
    <row r="61">
      <c r="A61" s="13" t="s">
        <v>504</v>
      </c>
      <c r="D61" s="24">
        <v>0.5</v>
      </c>
      <c r="E61" s="20" t="s">
        <v>552</v>
      </c>
      <c r="F61" s="90">
        <v>45828.0</v>
      </c>
    </row>
    <row r="62">
      <c r="A62" s="13" t="s">
        <v>542</v>
      </c>
      <c r="D62" s="24">
        <v>0.2</v>
      </c>
      <c r="E62" s="20" t="s">
        <v>553</v>
      </c>
    </row>
    <row r="63">
      <c r="A63" s="13" t="s">
        <v>504</v>
      </c>
      <c r="D63" s="24">
        <v>0.5</v>
      </c>
      <c r="E63" s="20" t="s">
        <v>554</v>
      </c>
      <c r="F63" s="42">
        <v>45835.0</v>
      </c>
    </row>
    <row r="64">
      <c r="A64" s="13" t="s">
        <v>542</v>
      </c>
      <c r="D64" s="24">
        <v>0.1</v>
      </c>
      <c r="E64" s="20" t="s">
        <v>555</v>
      </c>
    </row>
    <row r="65">
      <c r="A65" s="13" t="s">
        <v>504</v>
      </c>
      <c r="D65" s="24">
        <v>0.7</v>
      </c>
      <c r="E65" s="20" t="s">
        <v>556</v>
      </c>
      <c r="F65" s="90">
        <v>45849.0</v>
      </c>
    </row>
    <row r="66">
      <c r="D66" s="24">
        <v>0.6</v>
      </c>
      <c r="E66" s="20" t="s">
        <v>557</v>
      </c>
      <c r="F66" s="90">
        <v>45856.0</v>
      </c>
    </row>
    <row r="67">
      <c r="A67" s="13" t="s">
        <v>504</v>
      </c>
      <c r="D67" s="24">
        <v>0.4</v>
      </c>
      <c r="E67" s="20" t="s">
        <v>558</v>
      </c>
      <c r="F67" s="90">
        <v>45863.0</v>
      </c>
    </row>
    <row r="68">
      <c r="A68" s="13" t="s">
        <v>484</v>
      </c>
      <c r="D68" s="24">
        <v>0.15</v>
      </c>
      <c r="E68" s="20" t="s">
        <v>559</v>
      </c>
    </row>
    <row r="69">
      <c r="A69" s="13" t="s">
        <v>481</v>
      </c>
      <c r="B69" s="20"/>
      <c r="D69" s="24">
        <v>0.2</v>
      </c>
      <c r="E69" s="20" t="s">
        <v>560</v>
      </c>
      <c r="F69" s="90">
        <v>45870.0</v>
      </c>
    </row>
    <row r="70">
      <c r="A70" s="13" t="s">
        <v>484</v>
      </c>
      <c r="B70" s="20"/>
      <c r="D70" s="24">
        <v>0.4</v>
      </c>
      <c r="E70" s="20" t="s">
        <v>561</v>
      </c>
    </row>
    <row r="71">
      <c r="A71" s="13" t="s">
        <v>481</v>
      </c>
      <c r="B71" s="20"/>
      <c r="D71" s="24">
        <v>0.2</v>
      </c>
      <c r="E71" s="20" t="s">
        <v>562</v>
      </c>
      <c r="F71" s="90">
        <v>45877.0</v>
      </c>
    </row>
    <row r="72">
      <c r="A72" s="13" t="s">
        <v>484</v>
      </c>
      <c r="B72" s="20"/>
      <c r="D72" s="24">
        <v>0.4</v>
      </c>
      <c r="E72" s="20" t="s">
        <v>563</v>
      </c>
    </row>
    <row r="73">
      <c r="A73" s="13" t="s">
        <v>486</v>
      </c>
      <c r="D73" s="24">
        <v>0.1</v>
      </c>
      <c r="E73" s="20" t="s">
        <v>564</v>
      </c>
    </row>
    <row r="74">
      <c r="A74" s="13" t="s">
        <v>481</v>
      </c>
      <c r="B74" s="20"/>
      <c r="D74" s="24">
        <v>0.25</v>
      </c>
      <c r="E74" s="20" t="s">
        <v>565</v>
      </c>
      <c r="F74" s="90">
        <v>45877.0</v>
      </c>
    </row>
    <row r="75">
      <c r="A75" s="13" t="s">
        <v>484</v>
      </c>
      <c r="B75" s="20"/>
      <c r="D75" s="24">
        <v>0.05</v>
      </c>
      <c r="E75" s="20" t="s">
        <v>566</v>
      </c>
    </row>
    <row r="76">
      <c r="A76" s="13" t="s">
        <v>486</v>
      </c>
      <c r="D76" s="24">
        <v>0.7</v>
      </c>
      <c r="E76" s="20" t="s">
        <v>567</v>
      </c>
    </row>
    <row r="77">
      <c r="A77" s="13" t="s">
        <v>481</v>
      </c>
      <c r="B77" s="20"/>
      <c r="D77" s="24">
        <v>0.25</v>
      </c>
      <c r="E77" s="20" t="s">
        <v>568</v>
      </c>
      <c r="F77" s="90">
        <v>45884.0</v>
      </c>
    </row>
    <row r="78">
      <c r="A78" s="13" t="s">
        <v>484</v>
      </c>
      <c r="B78" s="20"/>
      <c r="D78" s="24">
        <v>0.01</v>
      </c>
      <c r="E78" s="20" t="s">
        <v>569</v>
      </c>
    </row>
    <row r="79">
      <c r="A79" s="13" t="s">
        <v>486</v>
      </c>
      <c r="D79" s="24">
        <v>0.4</v>
      </c>
      <c r="E79" s="20" t="s">
        <v>570</v>
      </c>
    </row>
    <row r="80">
      <c r="A80" s="13" t="s">
        <v>481</v>
      </c>
      <c r="D80" s="24">
        <v>0.01</v>
      </c>
      <c r="E80" s="20" t="s">
        <v>571</v>
      </c>
      <c r="F80" s="90">
        <v>45891.0</v>
      </c>
    </row>
    <row r="81">
      <c r="A81" s="13" t="s">
        <v>486</v>
      </c>
      <c r="D81" s="24">
        <v>0.98</v>
      </c>
      <c r="E81" s="20" t="s">
        <v>572</v>
      </c>
    </row>
    <row r="82">
      <c r="A82" s="13" t="s">
        <v>484</v>
      </c>
      <c r="D82" s="24">
        <v>0.01</v>
      </c>
      <c r="E82" s="79"/>
    </row>
    <row r="83">
      <c r="A83" s="13" t="s">
        <v>481</v>
      </c>
      <c r="B83" s="20"/>
      <c r="D83" s="24">
        <v>0.01</v>
      </c>
      <c r="E83" s="20"/>
      <c r="F83" s="90">
        <v>45898.0</v>
      </c>
    </row>
    <row r="84">
      <c r="A84" s="13" t="s">
        <v>484</v>
      </c>
      <c r="B84" s="20"/>
      <c r="D84" s="24">
        <v>0.19</v>
      </c>
      <c r="E84" s="20" t="s">
        <v>573</v>
      </c>
    </row>
    <row r="85">
      <c r="A85" s="13" t="s">
        <v>486</v>
      </c>
      <c r="D85" s="24">
        <v>0.8</v>
      </c>
      <c r="E85" s="20" t="s">
        <v>574</v>
      </c>
    </row>
    <row r="86">
      <c r="A86" s="13" t="s">
        <v>481</v>
      </c>
      <c r="B86" s="20"/>
      <c r="D86" s="24">
        <v>0.05</v>
      </c>
      <c r="E86" s="20" t="s">
        <v>575</v>
      </c>
      <c r="F86" s="90">
        <v>45905.0</v>
      </c>
    </row>
    <row r="87">
      <c r="A87" s="13" t="s">
        <v>484</v>
      </c>
      <c r="B87" s="20"/>
      <c r="D87" s="24">
        <v>0.05</v>
      </c>
      <c r="E87" s="20" t="s">
        <v>576</v>
      </c>
    </row>
    <row r="88">
      <c r="A88" s="13" t="s">
        <v>486</v>
      </c>
      <c r="D88" s="24">
        <v>0.8</v>
      </c>
      <c r="E88" s="20" t="s">
        <v>577</v>
      </c>
    </row>
    <row r="89">
      <c r="A89" s="13" t="s">
        <v>481</v>
      </c>
      <c r="B89" s="20"/>
      <c r="D89" s="24">
        <v>0.2</v>
      </c>
      <c r="E89" s="20" t="s">
        <v>578</v>
      </c>
      <c r="F89" s="90">
        <v>45912.0</v>
      </c>
    </row>
    <row r="90">
      <c r="A90" s="13" t="s">
        <v>484</v>
      </c>
      <c r="B90" s="20"/>
      <c r="D90" s="24">
        <v>0.0</v>
      </c>
      <c r="E90" s="20"/>
    </row>
    <row r="91">
      <c r="A91" s="13" t="s">
        <v>486</v>
      </c>
      <c r="D91" s="24">
        <v>0.6</v>
      </c>
      <c r="E91" s="20" t="s">
        <v>577</v>
      </c>
    </row>
    <row r="92">
      <c r="A92" s="13" t="s">
        <v>481</v>
      </c>
      <c r="B92" s="20"/>
      <c r="D92" s="24">
        <v>0.4</v>
      </c>
      <c r="E92" s="20" t="s">
        <v>579</v>
      </c>
      <c r="F92" s="90">
        <v>45919.0</v>
      </c>
    </row>
    <row r="93">
      <c r="A93" s="13" t="s">
        <v>484</v>
      </c>
      <c r="B93" s="20"/>
      <c r="D93" s="24">
        <v>0.0</v>
      </c>
      <c r="E93" s="20"/>
    </row>
    <row r="94">
      <c r="A94" s="13" t="s">
        <v>486</v>
      </c>
      <c r="D94" s="24">
        <v>0.4</v>
      </c>
      <c r="E94" s="20" t="s">
        <v>580</v>
      </c>
    </row>
    <row r="95">
      <c r="A95" s="13" t="s">
        <v>481</v>
      </c>
      <c r="B95" s="20"/>
      <c r="D95" s="24">
        <v>0.6</v>
      </c>
      <c r="E95" s="20" t="s">
        <v>581</v>
      </c>
      <c r="F95" s="90">
        <v>45940.0</v>
      </c>
    </row>
    <row r="96">
      <c r="A96" s="13" t="s">
        <v>484</v>
      </c>
      <c r="B96" s="20"/>
      <c r="D96" s="24">
        <v>0.0</v>
      </c>
      <c r="E96" s="20"/>
    </row>
    <row r="97">
      <c r="A97" s="13" t="s">
        <v>486</v>
      </c>
      <c r="D97" s="24">
        <v>0.2</v>
      </c>
      <c r="E97" s="20" t="s">
        <v>582</v>
      </c>
    </row>
    <row r="98">
      <c r="A98" s="13" t="s">
        <v>481</v>
      </c>
      <c r="B98" s="20"/>
      <c r="D98" s="24">
        <v>0.5</v>
      </c>
      <c r="E98" s="20" t="s">
        <v>583</v>
      </c>
      <c r="F98" s="90">
        <v>45947.0</v>
      </c>
    </row>
    <row r="99">
      <c r="A99" s="13" t="s">
        <v>484</v>
      </c>
      <c r="B99" s="20"/>
      <c r="D99" s="24">
        <v>0.0</v>
      </c>
      <c r="E99" s="20"/>
    </row>
    <row r="100">
      <c r="A100" s="13" t="s">
        <v>486</v>
      </c>
      <c r="D100" s="24">
        <v>0.3</v>
      </c>
      <c r="E100" s="20" t="s">
        <v>584</v>
      </c>
    </row>
    <row r="101">
      <c r="A101" s="13" t="s">
        <v>481</v>
      </c>
      <c r="B101" s="20"/>
      <c r="D101" s="24">
        <v>0.6</v>
      </c>
      <c r="E101" s="20" t="s">
        <v>585</v>
      </c>
      <c r="F101" s="90">
        <v>45954.0</v>
      </c>
    </row>
    <row r="102">
      <c r="A102" s="13" t="s">
        <v>484</v>
      </c>
      <c r="B102" s="20"/>
      <c r="D102" s="24">
        <v>0.01</v>
      </c>
      <c r="E102" s="20"/>
    </row>
    <row r="103">
      <c r="A103" s="13" t="s">
        <v>486</v>
      </c>
      <c r="D103" s="24">
        <v>0.2</v>
      </c>
      <c r="E103" s="20" t="s">
        <v>586</v>
      </c>
    </row>
    <row r="104">
      <c r="A104" s="13" t="s">
        <v>481</v>
      </c>
      <c r="B104" s="20"/>
      <c r="D104" s="24">
        <v>0.8</v>
      </c>
      <c r="E104" s="20" t="s">
        <v>587</v>
      </c>
      <c r="F104" s="90">
        <v>45961.0</v>
      </c>
    </row>
    <row r="105">
      <c r="A105" s="13" t="s">
        <v>484</v>
      </c>
      <c r="B105" s="20"/>
      <c r="D105" s="24">
        <v>0.02</v>
      </c>
      <c r="E105" s="20" t="s">
        <v>588</v>
      </c>
    </row>
    <row r="106">
      <c r="A106" s="13" t="s">
        <v>486</v>
      </c>
      <c r="D106" s="24">
        <v>0.1</v>
      </c>
      <c r="E106" s="20" t="s">
        <v>589</v>
      </c>
    </row>
    <row r="107">
      <c r="A107" s="13" t="s">
        <v>481</v>
      </c>
      <c r="B107" s="20"/>
      <c r="D107" s="24">
        <v>0.3</v>
      </c>
      <c r="E107" s="20" t="s">
        <v>590</v>
      </c>
      <c r="F107" s="90">
        <v>45968.0</v>
      </c>
    </row>
    <row r="108">
      <c r="A108" s="13" t="s">
        <v>484</v>
      </c>
      <c r="B108" s="20"/>
      <c r="D108" s="24">
        <v>0.1</v>
      </c>
      <c r="E108" s="20" t="s">
        <v>591</v>
      </c>
    </row>
    <row r="109">
      <c r="A109" s="13" t="s">
        <v>486</v>
      </c>
      <c r="D109" s="24">
        <v>0.4</v>
      </c>
      <c r="E109" s="20" t="s">
        <v>592</v>
      </c>
    </row>
    <row r="110">
      <c r="E110" s="79"/>
    </row>
    <row r="111">
      <c r="E111" s="79"/>
    </row>
    <row r="112">
      <c r="E112" s="79"/>
    </row>
    <row r="113">
      <c r="E113" s="79"/>
    </row>
    <row r="114">
      <c r="E114" s="79"/>
    </row>
    <row r="115">
      <c r="E115" s="79"/>
    </row>
    <row r="116">
      <c r="E116" s="79"/>
    </row>
    <row r="117">
      <c r="E117" s="79"/>
    </row>
    <row r="118">
      <c r="E118" s="79"/>
    </row>
    <row r="119">
      <c r="E119" s="79"/>
    </row>
    <row r="120">
      <c r="E120" s="79"/>
    </row>
    <row r="121">
      <c r="E121" s="79"/>
    </row>
    <row r="122">
      <c r="E122" s="79"/>
    </row>
    <row r="123">
      <c r="E123" s="79"/>
    </row>
    <row r="124">
      <c r="E124" s="79"/>
    </row>
    <row r="125">
      <c r="E125" s="79"/>
    </row>
    <row r="126">
      <c r="E126" s="79"/>
    </row>
    <row r="127">
      <c r="E127" s="79"/>
    </row>
    <row r="128">
      <c r="E128" s="79"/>
    </row>
    <row r="129">
      <c r="E129" s="79"/>
    </row>
    <row r="130">
      <c r="E130" s="79"/>
    </row>
    <row r="131">
      <c r="E131" s="79"/>
    </row>
    <row r="132">
      <c r="E132" s="79"/>
    </row>
    <row r="133">
      <c r="E133" s="79"/>
    </row>
    <row r="134">
      <c r="E134" s="79"/>
    </row>
    <row r="135">
      <c r="E135" s="79"/>
    </row>
    <row r="136">
      <c r="E136" s="79"/>
    </row>
    <row r="137">
      <c r="E137" s="79"/>
    </row>
    <row r="138">
      <c r="E138" s="79"/>
    </row>
    <row r="139">
      <c r="E139" s="79"/>
    </row>
    <row r="140">
      <c r="E140" s="79"/>
    </row>
    <row r="141">
      <c r="E141" s="79"/>
    </row>
    <row r="142">
      <c r="E142" s="79"/>
    </row>
    <row r="143">
      <c r="E143" s="79"/>
    </row>
    <row r="144">
      <c r="E144" s="79"/>
    </row>
    <row r="145">
      <c r="E145" s="79"/>
    </row>
    <row r="146">
      <c r="E146" s="79"/>
    </row>
    <row r="147">
      <c r="E147" s="79"/>
    </row>
    <row r="148">
      <c r="E148" s="79"/>
    </row>
    <row r="149">
      <c r="E149" s="79"/>
    </row>
    <row r="150">
      <c r="E150" s="79"/>
    </row>
    <row r="151">
      <c r="E151" s="79"/>
    </row>
    <row r="152">
      <c r="E152" s="79"/>
    </row>
    <row r="153">
      <c r="E153" s="79"/>
    </row>
    <row r="154">
      <c r="E154" s="79"/>
    </row>
    <row r="155">
      <c r="E155" s="79"/>
    </row>
    <row r="156">
      <c r="E156" s="79"/>
    </row>
    <row r="157">
      <c r="E157" s="79"/>
    </row>
    <row r="158">
      <c r="E158" s="79"/>
    </row>
    <row r="159">
      <c r="E159" s="79"/>
    </row>
    <row r="160">
      <c r="E160" s="79"/>
    </row>
    <row r="161">
      <c r="E161" s="79"/>
    </row>
    <row r="162">
      <c r="E162" s="79"/>
    </row>
    <row r="163">
      <c r="E163" s="79"/>
    </row>
    <row r="164">
      <c r="E164" s="79"/>
    </row>
    <row r="165">
      <c r="E165" s="79"/>
    </row>
    <row r="166">
      <c r="E166" s="79"/>
    </row>
    <row r="167">
      <c r="E167" s="79"/>
    </row>
    <row r="168">
      <c r="E168" s="79"/>
    </row>
    <row r="169">
      <c r="E169" s="79"/>
    </row>
    <row r="170">
      <c r="E170" s="79"/>
    </row>
    <row r="171">
      <c r="E171" s="79"/>
    </row>
    <row r="172">
      <c r="E172" s="79"/>
    </row>
    <row r="173">
      <c r="E173" s="79"/>
    </row>
    <row r="174">
      <c r="E174" s="79"/>
    </row>
    <row r="175">
      <c r="E175" s="79"/>
    </row>
    <row r="176">
      <c r="E176" s="79"/>
    </row>
    <row r="177">
      <c r="E177" s="79"/>
    </row>
    <row r="178">
      <c r="E178" s="79"/>
    </row>
    <row r="179">
      <c r="E179" s="79"/>
    </row>
    <row r="180">
      <c r="E180" s="79"/>
    </row>
    <row r="181">
      <c r="E181" s="79"/>
    </row>
    <row r="182">
      <c r="E182" s="79"/>
    </row>
    <row r="183">
      <c r="E183" s="79"/>
    </row>
    <row r="184">
      <c r="E184" s="79"/>
    </row>
    <row r="185">
      <c r="E185" s="79"/>
    </row>
    <row r="186">
      <c r="E186" s="79"/>
    </row>
    <row r="187">
      <c r="E187" s="79"/>
    </row>
    <row r="188">
      <c r="E188" s="79"/>
    </row>
    <row r="189">
      <c r="E189" s="79"/>
    </row>
    <row r="190">
      <c r="E190" s="79"/>
    </row>
    <row r="191">
      <c r="E191" s="79"/>
    </row>
    <row r="192">
      <c r="E192" s="79"/>
    </row>
    <row r="193">
      <c r="E193" s="79"/>
    </row>
    <row r="194">
      <c r="E194" s="79"/>
    </row>
    <row r="195">
      <c r="E195" s="79"/>
    </row>
    <row r="196">
      <c r="E196" s="79"/>
    </row>
    <row r="197">
      <c r="E197" s="79"/>
    </row>
    <row r="198">
      <c r="E198" s="79"/>
    </row>
    <row r="199">
      <c r="E199" s="79"/>
    </row>
    <row r="200">
      <c r="E200" s="79"/>
    </row>
    <row r="201">
      <c r="E201" s="79"/>
    </row>
    <row r="202">
      <c r="E202" s="79"/>
    </row>
    <row r="203">
      <c r="E203" s="79"/>
    </row>
    <row r="204">
      <c r="E204" s="79"/>
    </row>
    <row r="205">
      <c r="E205" s="79"/>
    </row>
    <row r="206">
      <c r="E206" s="79"/>
    </row>
    <row r="207">
      <c r="E207" s="79"/>
    </row>
    <row r="208">
      <c r="E208" s="79"/>
    </row>
    <row r="209">
      <c r="E209" s="79"/>
    </row>
    <row r="210">
      <c r="E210" s="79"/>
    </row>
    <row r="211">
      <c r="E211" s="79"/>
    </row>
    <row r="212">
      <c r="E212" s="79"/>
    </row>
    <row r="213">
      <c r="E213" s="79"/>
    </row>
    <row r="214">
      <c r="E214" s="79"/>
    </row>
    <row r="215">
      <c r="E215" s="79"/>
    </row>
    <row r="216">
      <c r="E216" s="79"/>
    </row>
    <row r="217">
      <c r="E217" s="79"/>
    </row>
    <row r="218">
      <c r="E218" s="79"/>
    </row>
    <row r="219">
      <c r="E219" s="79"/>
    </row>
    <row r="220">
      <c r="E220" s="79"/>
    </row>
    <row r="221">
      <c r="E221" s="79"/>
    </row>
    <row r="222">
      <c r="E222" s="79"/>
    </row>
    <row r="223">
      <c r="E223" s="79"/>
    </row>
    <row r="224">
      <c r="E224" s="79"/>
    </row>
    <row r="225">
      <c r="E225" s="79"/>
    </row>
    <row r="226">
      <c r="E226" s="79"/>
    </row>
    <row r="227">
      <c r="E227" s="79"/>
    </row>
    <row r="228">
      <c r="E228" s="79"/>
    </row>
    <row r="229">
      <c r="E229" s="79"/>
    </row>
    <row r="230">
      <c r="E230" s="79"/>
    </row>
    <row r="231">
      <c r="E231" s="79"/>
    </row>
    <row r="232">
      <c r="E232" s="79"/>
    </row>
    <row r="233">
      <c r="E233" s="79"/>
    </row>
    <row r="234">
      <c r="E234" s="79"/>
    </row>
    <row r="235">
      <c r="E235" s="79"/>
    </row>
    <row r="236">
      <c r="E236" s="79"/>
    </row>
    <row r="237">
      <c r="E237" s="79"/>
    </row>
    <row r="238">
      <c r="E238" s="79"/>
    </row>
    <row r="239">
      <c r="E239" s="79"/>
    </row>
    <row r="240">
      <c r="E240" s="79"/>
    </row>
    <row r="241">
      <c r="E241" s="79"/>
    </row>
    <row r="242">
      <c r="E242" s="79"/>
    </row>
    <row r="243">
      <c r="E243" s="79"/>
    </row>
    <row r="244">
      <c r="E244" s="79"/>
    </row>
    <row r="245">
      <c r="E245" s="79"/>
    </row>
    <row r="246">
      <c r="E246" s="79"/>
    </row>
    <row r="247">
      <c r="E247" s="79"/>
    </row>
    <row r="248">
      <c r="E248" s="79"/>
    </row>
    <row r="249">
      <c r="E249" s="79"/>
    </row>
    <row r="250">
      <c r="E250" s="79"/>
    </row>
    <row r="251">
      <c r="E251" s="79"/>
    </row>
    <row r="252">
      <c r="E252" s="79"/>
    </row>
    <row r="253">
      <c r="E253" s="79"/>
    </row>
    <row r="254">
      <c r="E254" s="79"/>
    </row>
    <row r="255">
      <c r="E255" s="79"/>
    </row>
    <row r="256">
      <c r="E256" s="79"/>
    </row>
    <row r="257">
      <c r="E257" s="79"/>
    </row>
    <row r="258">
      <c r="E258" s="79"/>
    </row>
    <row r="259">
      <c r="E259" s="79"/>
    </row>
    <row r="260">
      <c r="E260" s="79"/>
    </row>
    <row r="261">
      <c r="E261" s="79"/>
    </row>
    <row r="262">
      <c r="E262" s="79"/>
    </row>
    <row r="263">
      <c r="E263" s="79"/>
    </row>
    <row r="264">
      <c r="E264" s="79"/>
    </row>
    <row r="265">
      <c r="E265" s="79"/>
    </row>
    <row r="266">
      <c r="E266" s="79"/>
    </row>
    <row r="267">
      <c r="E267" s="79"/>
    </row>
    <row r="268">
      <c r="E268" s="79"/>
    </row>
    <row r="269">
      <c r="E269" s="79"/>
    </row>
    <row r="270">
      <c r="E270" s="79"/>
    </row>
    <row r="271">
      <c r="E271" s="79"/>
    </row>
    <row r="272">
      <c r="E272" s="79"/>
    </row>
    <row r="273">
      <c r="E273" s="79"/>
    </row>
    <row r="274">
      <c r="E274" s="79"/>
    </row>
    <row r="275">
      <c r="E275" s="79"/>
    </row>
    <row r="276">
      <c r="E276" s="79"/>
    </row>
    <row r="277">
      <c r="E277" s="79"/>
    </row>
    <row r="278">
      <c r="E278" s="79"/>
    </row>
    <row r="279">
      <c r="E279" s="79"/>
    </row>
    <row r="280">
      <c r="E280" s="79"/>
    </row>
    <row r="281">
      <c r="E281" s="79"/>
    </row>
    <row r="282">
      <c r="E282" s="79"/>
    </row>
    <row r="283">
      <c r="E283" s="79"/>
    </row>
    <row r="284">
      <c r="E284" s="79"/>
    </row>
    <row r="285">
      <c r="E285" s="79"/>
    </row>
    <row r="286">
      <c r="E286" s="79"/>
    </row>
    <row r="287">
      <c r="E287" s="79"/>
    </row>
    <row r="288">
      <c r="E288" s="79"/>
    </row>
    <row r="289">
      <c r="E289" s="79"/>
    </row>
    <row r="290">
      <c r="E290" s="79"/>
    </row>
    <row r="291">
      <c r="E291" s="79"/>
    </row>
    <row r="292">
      <c r="E292" s="79"/>
    </row>
    <row r="293">
      <c r="E293" s="79"/>
    </row>
    <row r="294">
      <c r="E294" s="79"/>
    </row>
    <row r="295">
      <c r="E295" s="79"/>
    </row>
    <row r="296">
      <c r="E296" s="79"/>
    </row>
    <row r="297">
      <c r="E297" s="79"/>
    </row>
    <row r="298">
      <c r="E298" s="79"/>
    </row>
    <row r="299">
      <c r="E299" s="79"/>
    </row>
    <row r="300">
      <c r="E300" s="79"/>
    </row>
    <row r="301">
      <c r="E301" s="79"/>
    </row>
    <row r="302">
      <c r="E302" s="79"/>
    </row>
    <row r="303">
      <c r="E303" s="79"/>
    </row>
    <row r="304">
      <c r="E304" s="79"/>
    </row>
    <row r="305">
      <c r="E305" s="79"/>
    </row>
    <row r="306">
      <c r="E306" s="79"/>
    </row>
    <row r="307">
      <c r="E307" s="79"/>
    </row>
    <row r="308">
      <c r="E308" s="79"/>
    </row>
    <row r="309">
      <c r="E309" s="79"/>
    </row>
    <row r="310">
      <c r="E310" s="79"/>
    </row>
    <row r="311">
      <c r="E311" s="79"/>
    </row>
    <row r="312">
      <c r="E312" s="79"/>
    </row>
    <row r="313">
      <c r="E313" s="79"/>
    </row>
    <row r="314">
      <c r="E314" s="79"/>
    </row>
    <row r="315">
      <c r="E315" s="79"/>
    </row>
    <row r="316">
      <c r="E316" s="79"/>
    </row>
    <row r="317">
      <c r="E317" s="79"/>
    </row>
    <row r="318">
      <c r="E318" s="79"/>
    </row>
    <row r="319">
      <c r="E319" s="79"/>
    </row>
    <row r="320">
      <c r="E320" s="79"/>
    </row>
    <row r="321">
      <c r="E321" s="79"/>
    </row>
    <row r="322">
      <c r="E322" s="79"/>
    </row>
    <row r="323">
      <c r="E323" s="79"/>
    </row>
    <row r="324">
      <c r="E324" s="79"/>
    </row>
    <row r="325">
      <c r="E325" s="79"/>
    </row>
    <row r="326">
      <c r="E326" s="79"/>
    </row>
    <row r="327">
      <c r="E327" s="79"/>
    </row>
    <row r="328">
      <c r="E328" s="79"/>
    </row>
    <row r="329">
      <c r="E329" s="79"/>
    </row>
    <row r="330">
      <c r="E330" s="79"/>
    </row>
    <row r="331">
      <c r="E331" s="79"/>
    </row>
    <row r="332">
      <c r="E332" s="79"/>
    </row>
    <row r="333">
      <c r="E333" s="79"/>
    </row>
    <row r="334">
      <c r="E334" s="79"/>
    </row>
    <row r="335">
      <c r="E335" s="79"/>
    </row>
    <row r="336">
      <c r="E336" s="79"/>
    </row>
    <row r="337">
      <c r="E337" s="79"/>
    </row>
    <row r="338">
      <c r="E338" s="79"/>
    </row>
    <row r="339">
      <c r="E339" s="79"/>
    </row>
    <row r="340">
      <c r="E340" s="79"/>
    </row>
    <row r="341">
      <c r="E341" s="79"/>
    </row>
    <row r="342">
      <c r="E342" s="79"/>
    </row>
    <row r="343">
      <c r="E343" s="79"/>
    </row>
    <row r="344">
      <c r="E344" s="79"/>
    </row>
    <row r="345">
      <c r="E345" s="79"/>
    </row>
    <row r="346">
      <c r="E346" s="79"/>
    </row>
    <row r="347">
      <c r="E347" s="79"/>
    </row>
    <row r="348">
      <c r="E348" s="79"/>
    </row>
    <row r="349">
      <c r="E349" s="79"/>
    </row>
    <row r="350">
      <c r="E350" s="79"/>
    </row>
    <row r="351">
      <c r="E351" s="79"/>
    </row>
    <row r="352">
      <c r="E352" s="79"/>
    </row>
    <row r="353">
      <c r="E353" s="79"/>
    </row>
    <row r="354">
      <c r="E354" s="79"/>
    </row>
    <row r="355">
      <c r="E355" s="79"/>
    </row>
    <row r="356">
      <c r="E356" s="79"/>
    </row>
    <row r="357">
      <c r="E357" s="79"/>
    </row>
    <row r="358">
      <c r="E358" s="79"/>
    </row>
    <row r="359">
      <c r="E359" s="79"/>
    </row>
    <row r="360">
      <c r="E360" s="79"/>
    </row>
    <row r="361">
      <c r="E361" s="79"/>
    </row>
    <row r="362">
      <c r="E362" s="79"/>
    </row>
    <row r="363">
      <c r="E363" s="79"/>
    </row>
    <row r="364">
      <c r="E364" s="79"/>
    </row>
    <row r="365">
      <c r="E365" s="79"/>
    </row>
    <row r="366">
      <c r="E366" s="79"/>
    </row>
    <row r="367">
      <c r="E367" s="79"/>
    </row>
    <row r="368">
      <c r="E368" s="79"/>
    </row>
    <row r="369">
      <c r="E369" s="79"/>
    </row>
    <row r="370">
      <c r="E370" s="79"/>
    </row>
    <row r="371">
      <c r="E371" s="79"/>
    </row>
    <row r="372">
      <c r="E372" s="79"/>
    </row>
    <row r="373">
      <c r="E373" s="79"/>
    </row>
    <row r="374">
      <c r="E374" s="79"/>
    </row>
    <row r="375">
      <c r="E375" s="79"/>
    </row>
    <row r="376">
      <c r="E376" s="79"/>
    </row>
    <row r="377">
      <c r="E377" s="79"/>
    </row>
    <row r="378">
      <c r="E378" s="79"/>
    </row>
    <row r="379">
      <c r="E379" s="79"/>
    </row>
    <row r="380">
      <c r="E380" s="79"/>
    </row>
    <row r="381">
      <c r="E381" s="79"/>
    </row>
    <row r="382">
      <c r="E382" s="79"/>
    </row>
    <row r="383">
      <c r="E383" s="79"/>
    </row>
    <row r="384">
      <c r="E384" s="79"/>
    </row>
    <row r="385">
      <c r="E385" s="79"/>
    </row>
    <row r="386">
      <c r="E386" s="79"/>
    </row>
    <row r="387">
      <c r="E387" s="79"/>
    </row>
    <row r="388">
      <c r="E388" s="79"/>
    </row>
    <row r="389">
      <c r="E389" s="79"/>
    </row>
    <row r="390">
      <c r="E390" s="79"/>
    </row>
    <row r="391">
      <c r="E391" s="79"/>
    </row>
    <row r="392">
      <c r="E392" s="79"/>
    </row>
    <row r="393">
      <c r="E393" s="79"/>
    </row>
    <row r="394">
      <c r="E394" s="79"/>
    </row>
    <row r="395">
      <c r="E395" s="79"/>
    </row>
    <row r="396">
      <c r="E396" s="79"/>
    </row>
    <row r="397">
      <c r="E397" s="79"/>
    </row>
    <row r="398">
      <c r="E398" s="79"/>
    </row>
    <row r="399">
      <c r="E399" s="79"/>
    </row>
    <row r="400">
      <c r="E400" s="79"/>
    </row>
    <row r="401">
      <c r="E401" s="79"/>
    </row>
    <row r="402">
      <c r="E402" s="79"/>
    </row>
    <row r="403">
      <c r="E403" s="79"/>
    </row>
    <row r="404">
      <c r="E404" s="79"/>
    </row>
    <row r="405">
      <c r="E405" s="79"/>
    </row>
    <row r="406">
      <c r="E406" s="79"/>
    </row>
    <row r="407">
      <c r="E407" s="79"/>
    </row>
    <row r="408">
      <c r="E408" s="79"/>
    </row>
    <row r="409">
      <c r="E409" s="79"/>
    </row>
    <row r="410">
      <c r="E410" s="79"/>
    </row>
    <row r="411">
      <c r="E411" s="79"/>
    </row>
    <row r="412">
      <c r="E412" s="79"/>
    </row>
    <row r="413">
      <c r="E413" s="79"/>
    </row>
    <row r="414">
      <c r="E414" s="79"/>
    </row>
    <row r="415">
      <c r="E415" s="79"/>
    </row>
    <row r="416">
      <c r="E416" s="79"/>
    </row>
    <row r="417">
      <c r="E417" s="79"/>
    </row>
    <row r="418">
      <c r="E418" s="79"/>
    </row>
    <row r="419">
      <c r="E419" s="79"/>
    </row>
    <row r="420">
      <c r="E420" s="79"/>
    </row>
    <row r="421">
      <c r="E421" s="79"/>
    </row>
    <row r="422">
      <c r="E422" s="79"/>
    </row>
    <row r="423">
      <c r="E423" s="79"/>
    </row>
    <row r="424">
      <c r="E424" s="79"/>
    </row>
    <row r="425">
      <c r="E425" s="79"/>
    </row>
    <row r="426">
      <c r="E426" s="79"/>
    </row>
    <row r="427">
      <c r="E427" s="79"/>
    </row>
    <row r="428">
      <c r="E428" s="79"/>
    </row>
    <row r="429">
      <c r="E429" s="79"/>
    </row>
    <row r="430">
      <c r="E430" s="79"/>
    </row>
    <row r="431">
      <c r="E431" s="79"/>
    </row>
    <row r="432">
      <c r="E432" s="79"/>
    </row>
    <row r="433">
      <c r="E433" s="79"/>
    </row>
    <row r="434">
      <c r="E434" s="79"/>
    </row>
    <row r="435">
      <c r="E435" s="79"/>
    </row>
    <row r="436">
      <c r="E436" s="79"/>
    </row>
    <row r="437">
      <c r="E437" s="79"/>
    </row>
    <row r="438">
      <c r="E438" s="79"/>
    </row>
    <row r="439">
      <c r="E439" s="79"/>
    </row>
    <row r="440">
      <c r="E440" s="79"/>
    </row>
    <row r="441">
      <c r="E441" s="79"/>
    </row>
    <row r="442">
      <c r="E442" s="79"/>
    </row>
    <row r="443">
      <c r="E443" s="79"/>
    </row>
    <row r="444">
      <c r="E444" s="79"/>
    </row>
    <row r="445">
      <c r="E445" s="79"/>
    </row>
    <row r="446">
      <c r="E446" s="79"/>
    </row>
    <row r="447">
      <c r="E447" s="79"/>
    </row>
    <row r="448">
      <c r="E448" s="79"/>
    </row>
    <row r="449">
      <c r="E449" s="79"/>
    </row>
    <row r="450">
      <c r="E450" s="79"/>
    </row>
    <row r="451">
      <c r="E451" s="79"/>
    </row>
    <row r="452">
      <c r="E452" s="79"/>
    </row>
    <row r="453">
      <c r="E453" s="79"/>
    </row>
    <row r="454">
      <c r="E454" s="79"/>
    </row>
    <row r="455">
      <c r="E455" s="79"/>
    </row>
    <row r="456">
      <c r="E456" s="79"/>
    </row>
    <row r="457">
      <c r="E457" s="79"/>
    </row>
    <row r="458">
      <c r="E458" s="79"/>
    </row>
    <row r="459">
      <c r="E459" s="79"/>
    </row>
    <row r="460">
      <c r="E460" s="79"/>
    </row>
    <row r="461">
      <c r="E461" s="79"/>
    </row>
    <row r="462">
      <c r="E462" s="79"/>
    </row>
    <row r="463">
      <c r="E463" s="79"/>
    </row>
    <row r="464">
      <c r="E464" s="79"/>
    </row>
    <row r="465">
      <c r="E465" s="79"/>
    </row>
    <row r="466">
      <c r="E466" s="79"/>
    </row>
    <row r="467">
      <c r="E467" s="79"/>
    </row>
    <row r="468">
      <c r="E468" s="79"/>
    </row>
    <row r="469">
      <c r="E469" s="79"/>
    </row>
    <row r="470">
      <c r="E470" s="79"/>
    </row>
    <row r="471">
      <c r="E471" s="79"/>
    </row>
    <row r="472">
      <c r="E472" s="79"/>
    </row>
    <row r="473">
      <c r="E473" s="79"/>
    </row>
    <row r="474">
      <c r="E474" s="79"/>
    </row>
    <row r="475">
      <c r="E475" s="79"/>
    </row>
    <row r="476">
      <c r="E476" s="79"/>
    </row>
    <row r="477">
      <c r="E477" s="79"/>
    </row>
    <row r="478">
      <c r="E478" s="79"/>
    </row>
    <row r="479">
      <c r="E479" s="79"/>
    </row>
    <row r="480">
      <c r="E480" s="79"/>
    </row>
    <row r="481">
      <c r="E481" s="79"/>
    </row>
    <row r="482">
      <c r="E482" s="79"/>
    </row>
    <row r="483">
      <c r="E483" s="79"/>
    </row>
    <row r="484">
      <c r="E484" s="79"/>
    </row>
    <row r="485">
      <c r="E485" s="79"/>
    </row>
    <row r="486">
      <c r="E486" s="79"/>
    </row>
    <row r="487">
      <c r="E487" s="79"/>
    </row>
    <row r="488">
      <c r="E488" s="79"/>
    </row>
    <row r="489">
      <c r="E489" s="79"/>
    </row>
    <row r="490">
      <c r="E490" s="79"/>
    </row>
    <row r="491">
      <c r="E491" s="79"/>
    </row>
    <row r="492">
      <c r="E492" s="79"/>
    </row>
    <row r="493">
      <c r="E493" s="79"/>
    </row>
    <row r="494">
      <c r="E494" s="79"/>
    </row>
    <row r="495">
      <c r="E495" s="79"/>
    </row>
    <row r="496">
      <c r="E496" s="79"/>
    </row>
    <row r="497">
      <c r="E497" s="79"/>
    </row>
    <row r="498">
      <c r="E498" s="79"/>
    </row>
    <row r="499">
      <c r="E499" s="79"/>
    </row>
    <row r="500">
      <c r="E500" s="79"/>
    </row>
    <row r="501">
      <c r="E501" s="79"/>
    </row>
    <row r="502">
      <c r="E502" s="79"/>
    </row>
    <row r="503">
      <c r="E503" s="79"/>
    </row>
    <row r="504">
      <c r="E504" s="79"/>
    </row>
    <row r="505">
      <c r="E505" s="79"/>
    </row>
    <row r="506">
      <c r="E506" s="79"/>
    </row>
    <row r="507">
      <c r="E507" s="79"/>
    </row>
    <row r="508">
      <c r="E508" s="79"/>
    </row>
    <row r="509">
      <c r="E509" s="79"/>
    </row>
    <row r="510">
      <c r="E510" s="79"/>
    </row>
    <row r="511">
      <c r="E511" s="79"/>
    </row>
    <row r="512">
      <c r="E512" s="79"/>
    </row>
    <row r="513">
      <c r="E513" s="79"/>
    </row>
    <row r="514">
      <c r="E514" s="79"/>
    </row>
    <row r="515">
      <c r="E515" s="79"/>
    </row>
    <row r="516">
      <c r="E516" s="79"/>
    </row>
    <row r="517">
      <c r="E517" s="79"/>
    </row>
    <row r="518">
      <c r="E518" s="79"/>
    </row>
    <row r="519">
      <c r="E519" s="79"/>
    </row>
    <row r="520">
      <c r="E520" s="79"/>
    </row>
    <row r="521">
      <c r="E521" s="79"/>
    </row>
    <row r="522">
      <c r="E522" s="79"/>
    </row>
    <row r="523">
      <c r="E523" s="79"/>
    </row>
    <row r="524">
      <c r="E524" s="79"/>
    </row>
    <row r="525">
      <c r="E525" s="79"/>
    </row>
    <row r="526">
      <c r="E526" s="79"/>
    </row>
    <row r="527">
      <c r="E527" s="79"/>
    </row>
    <row r="528">
      <c r="E528" s="79"/>
    </row>
    <row r="529">
      <c r="E529" s="79"/>
    </row>
    <row r="530">
      <c r="E530" s="79"/>
    </row>
    <row r="531">
      <c r="E531" s="79"/>
    </row>
    <row r="532">
      <c r="E532" s="79"/>
    </row>
    <row r="533">
      <c r="E533" s="79"/>
    </row>
    <row r="534">
      <c r="E534" s="79"/>
    </row>
    <row r="535">
      <c r="E535" s="79"/>
    </row>
    <row r="536">
      <c r="E536" s="79"/>
    </row>
    <row r="537">
      <c r="E537" s="79"/>
    </row>
    <row r="538">
      <c r="E538" s="79"/>
    </row>
    <row r="539">
      <c r="E539" s="79"/>
    </row>
    <row r="540">
      <c r="E540" s="79"/>
    </row>
    <row r="541">
      <c r="E541" s="79"/>
    </row>
    <row r="542">
      <c r="E542" s="79"/>
    </row>
    <row r="543">
      <c r="E543" s="79"/>
    </row>
    <row r="544">
      <c r="E544" s="79"/>
    </row>
    <row r="545">
      <c r="E545" s="79"/>
    </row>
    <row r="546">
      <c r="E546" s="79"/>
    </row>
    <row r="547">
      <c r="E547" s="79"/>
    </row>
    <row r="548">
      <c r="E548" s="79"/>
    </row>
    <row r="549">
      <c r="E549" s="79"/>
    </row>
    <row r="550">
      <c r="E550" s="79"/>
    </row>
    <row r="551">
      <c r="E551" s="79"/>
    </row>
    <row r="552">
      <c r="E552" s="79"/>
    </row>
    <row r="553">
      <c r="E553" s="79"/>
    </row>
    <row r="554">
      <c r="E554" s="79"/>
    </row>
    <row r="555">
      <c r="E555" s="79"/>
    </row>
    <row r="556">
      <c r="E556" s="79"/>
    </row>
    <row r="557">
      <c r="E557" s="79"/>
    </row>
    <row r="558">
      <c r="E558" s="79"/>
    </row>
    <row r="559">
      <c r="E559" s="79"/>
    </row>
    <row r="560">
      <c r="E560" s="79"/>
    </row>
    <row r="561">
      <c r="E561" s="79"/>
    </row>
    <row r="562">
      <c r="E562" s="79"/>
    </row>
    <row r="563">
      <c r="E563" s="79"/>
    </row>
    <row r="564">
      <c r="E564" s="79"/>
    </row>
    <row r="565">
      <c r="E565" s="79"/>
    </row>
    <row r="566">
      <c r="E566" s="79"/>
    </row>
    <row r="567">
      <c r="E567" s="79"/>
    </row>
    <row r="568">
      <c r="E568" s="79"/>
    </row>
    <row r="569">
      <c r="E569" s="79"/>
    </row>
    <row r="570">
      <c r="E570" s="79"/>
    </row>
    <row r="571">
      <c r="E571" s="79"/>
    </row>
    <row r="572">
      <c r="E572" s="79"/>
    </row>
    <row r="573">
      <c r="E573" s="79"/>
    </row>
    <row r="574">
      <c r="E574" s="79"/>
    </row>
    <row r="575">
      <c r="E575" s="79"/>
    </row>
    <row r="576">
      <c r="E576" s="79"/>
    </row>
    <row r="577">
      <c r="E577" s="79"/>
    </row>
    <row r="578">
      <c r="E578" s="79"/>
    </row>
    <row r="579">
      <c r="E579" s="79"/>
    </row>
    <row r="580">
      <c r="E580" s="79"/>
    </row>
    <row r="581">
      <c r="E581" s="79"/>
    </row>
    <row r="582">
      <c r="E582" s="79"/>
    </row>
    <row r="583">
      <c r="E583" s="79"/>
    </row>
    <row r="584">
      <c r="E584" s="79"/>
    </row>
    <row r="585">
      <c r="E585" s="79"/>
    </row>
    <row r="586">
      <c r="E586" s="79"/>
    </row>
    <row r="587">
      <c r="E587" s="79"/>
    </row>
    <row r="588">
      <c r="E588" s="79"/>
    </row>
    <row r="589">
      <c r="E589" s="79"/>
    </row>
    <row r="590">
      <c r="E590" s="79"/>
    </row>
    <row r="591">
      <c r="E591" s="79"/>
    </row>
    <row r="592">
      <c r="E592" s="79"/>
    </row>
    <row r="593">
      <c r="E593" s="79"/>
    </row>
    <row r="594">
      <c r="E594" s="79"/>
    </row>
    <row r="595">
      <c r="E595" s="79"/>
    </row>
    <row r="596">
      <c r="E596" s="79"/>
    </row>
    <row r="597">
      <c r="E597" s="79"/>
    </row>
    <row r="598">
      <c r="E598" s="79"/>
    </row>
    <row r="599">
      <c r="E599" s="79"/>
    </row>
    <row r="600">
      <c r="E600" s="79"/>
    </row>
    <row r="601">
      <c r="E601" s="79"/>
    </row>
    <row r="602">
      <c r="E602" s="79"/>
    </row>
    <row r="603">
      <c r="E603" s="79"/>
    </row>
    <row r="604">
      <c r="E604" s="79"/>
    </row>
    <row r="605">
      <c r="E605" s="79"/>
    </row>
    <row r="606">
      <c r="E606" s="79"/>
    </row>
    <row r="607">
      <c r="E607" s="79"/>
    </row>
    <row r="608">
      <c r="E608" s="79"/>
    </row>
    <row r="609">
      <c r="E609" s="79"/>
    </row>
    <row r="610">
      <c r="E610" s="79"/>
    </row>
    <row r="611">
      <c r="E611" s="79"/>
    </row>
    <row r="612">
      <c r="E612" s="79"/>
    </row>
    <row r="613">
      <c r="E613" s="79"/>
    </row>
    <row r="614">
      <c r="E614" s="79"/>
    </row>
    <row r="615">
      <c r="E615" s="79"/>
    </row>
    <row r="616">
      <c r="E616" s="79"/>
    </row>
    <row r="617">
      <c r="E617" s="79"/>
    </row>
    <row r="618">
      <c r="E618" s="79"/>
    </row>
    <row r="619">
      <c r="E619" s="79"/>
    </row>
    <row r="620">
      <c r="E620" s="79"/>
    </row>
    <row r="621">
      <c r="E621" s="79"/>
    </row>
    <row r="622">
      <c r="E622" s="79"/>
    </row>
    <row r="623">
      <c r="E623" s="79"/>
    </row>
    <row r="624">
      <c r="E624" s="79"/>
    </row>
    <row r="625">
      <c r="E625" s="79"/>
    </row>
    <row r="626">
      <c r="E626" s="79"/>
    </row>
    <row r="627">
      <c r="E627" s="79"/>
    </row>
    <row r="628">
      <c r="E628" s="79"/>
    </row>
    <row r="629">
      <c r="E629" s="79"/>
    </row>
    <row r="630">
      <c r="E630" s="79"/>
    </row>
    <row r="631">
      <c r="E631" s="79"/>
    </row>
    <row r="632">
      <c r="E632" s="79"/>
    </row>
    <row r="633">
      <c r="E633" s="79"/>
    </row>
    <row r="634">
      <c r="E634" s="79"/>
    </row>
    <row r="635">
      <c r="E635" s="79"/>
    </row>
    <row r="636">
      <c r="E636" s="79"/>
    </row>
    <row r="637">
      <c r="E637" s="79"/>
    </row>
    <row r="638">
      <c r="E638" s="79"/>
    </row>
    <row r="639">
      <c r="E639" s="79"/>
    </row>
    <row r="640">
      <c r="E640" s="79"/>
    </row>
    <row r="641">
      <c r="E641" s="79"/>
    </row>
    <row r="642">
      <c r="E642" s="79"/>
    </row>
    <row r="643">
      <c r="E643" s="79"/>
    </row>
    <row r="644">
      <c r="E644" s="79"/>
    </row>
    <row r="645">
      <c r="E645" s="79"/>
    </row>
    <row r="646">
      <c r="E646" s="79"/>
    </row>
    <row r="647">
      <c r="E647" s="79"/>
    </row>
    <row r="648">
      <c r="E648" s="79"/>
    </row>
    <row r="649">
      <c r="E649" s="79"/>
    </row>
    <row r="650">
      <c r="E650" s="79"/>
    </row>
    <row r="651">
      <c r="E651" s="79"/>
    </row>
    <row r="652">
      <c r="E652" s="79"/>
    </row>
    <row r="653">
      <c r="E653" s="79"/>
    </row>
    <row r="654">
      <c r="E654" s="79"/>
    </row>
    <row r="655">
      <c r="E655" s="79"/>
    </row>
    <row r="656">
      <c r="E656" s="79"/>
    </row>
    <row r="657">
      <c r="E657" s="79"/>
    </row>
    <row r="658">
      <c r="E658" s="79"/>
    </row>
    <row r="659">
      <c r="E659" s="79"/>
    </row>
    <row r="660">
      <c r="E660" s="79"/>
    </row>
    <row r="661">
      <c r="E661" s="79"/>
    </row>
    <row r="662">
      <c r="E662" s="79"/>
    </row>
    <row r="663">
      <c r="E663" s="79"/>
    </row>
    <row r="664">
      <c r="E664" s="79"/>
    </row>
    <row r="665">
      <c r="E665" s="79"/>
    </row>
    <row r="666">
      <c r="E666" s="79"/>
    </row>
    <row r="667">
      <c r="E667" s="79"/>
    </row>
    <row r="668">
      <c r="E668" s="79"/>
    </row>
    <row r="669">
      <c r="E669" s="79"/>
    </row>
    <row r="670">
      <c r="E670" s="79"/>
    </row>
    <row r="671">
      <c r="E671" s="79"/>
    </row>
    <row r="672">
      <c r="E672" s="79"/>
    </row>
    <row r="673">
      <c r="E673" s="79"/>
    </row>
    <row r="674">
      <c r="E674" s="79"/>
    </row>
    <row r="675">
      <c r="E675" s="79"/>
    </row>
    <row r="676">
      <c r="E676" s="79"/>
    </row>
    <row r="677">
      <c r="E677" s="79"/>
    </row>
    <row r="678">
      <c r="E678" s="79"/>
    </row>
    <row r="679">
      <c r="E679" s="79"/>
    </row>
    <row r="680">
      <c r="E680" s="79"/>
    </row>
    <row r="681">
      <c r="E681" s="79"/>
    </row>
    <row r="682">
      <c r="E682" s="79"/>
    </row>
    <row r="683">
      <c r="E683" s="79"/>
    </row>
    <row r="684">
      <c r="E684" s="79"/>
    </row>
    <row r="685">
      <c r="E685" s="79"/>
    </row>
    <row r="686">
      <c r="E686" s="79"/>
    </row>
    <row r="687">
      <c r="E687" s="79"/>
    </row>
    <row r="688">
      <c r="E688" s="79"/>
    </row>
    <row r="689">
      <c r="E689" s="79"/>
    </row>
    <row r="690">
      <c r="E690" s="79"/>
    </row>
    <row r="691">
      <c r="E691" s="79"/>
    </row>
    <row r="692">
      <c r="E692" s="79"/>
    </row>
    <row r="693">
      <c r="E693" s="79"/>
    </row>
    <row r="694">
      <c r="E694" s="79"/>
    </row>
    <row r="695">
      <c r="E695" s="79"/>
    </row>
    <row r="696">
      <c r="E696" s="79"/>
    </row>
    <row r="697">
      <c r="E697" s="79"/>
    </row>
    <row r="698">
      <c r="E698" s="79"/>
    </row>
    <row r="699">
      <c r="E699" s="79"/>
    </row>
    <row r="700">
      <c r="E700" s="79"/>
    </row>
    <row r="701">
      <c r="E701" s="79"/>
    </row>
    <row r="702">
      <c r="E702" s="79"/>
    </row>
    <row r="703">
      <c r="E703" s="79"/>
    </row>
    <row r="704">
      <c r="E704" s="79"/>
    </row>
    <row r="705">
      <c r="E705" s="79"/>
    </row>
    <row r="706">
      <c r="E706" s="79"/>
    </row>
    <row r="707">
      <c r="E707" s="79"/>
    </row>
    <row r="708">
      <c r="E708" s="79"/>
    </row>
    <row r="709">
      <c r="E709" s="79"/>
    </row>
    <row r="710">
      <c r="E710" s="79"/>
    </row>
    <row r="711">
      <c r="E711" s="79"/>
    </row>
    <row r="712">
      <c r="E712" s="79"/>
    </row>
    <row r="713">
      <c r="E713" s="79"/>
    </row>
    <row r="714">
      <c r="E714" s="79"/>
    </row>
    <row r="715">
      <c r="E715" s="79"/>
    </row>
    <row r="716">
      <c r="E716" s="79"/>
    </row>
    <row r="717">
      <c r="E717" s="79"/>
    </row>
    <row r="718">
      <c r="E718" s="79"/>
    </row>
    <row r="719">
      <c r="E719" s="79"/>
    </row>
    <row r="720">
      <c r="E720" s="79"/>
    </row>
    <row r="721">
      <c r="E721" s="79"/>
    </row>
    <row r="722">
      <c r="E722" s="79"/>
    </row>
    <row r="723">
      <c r="E723" s="79"/>
    </row>
    <row r="724">
      <c r="E724" s="79"/>
    </row>
    <row r="725">
      <c r="E725" s="79"/>
    </row>
    <row r="726">
      <c r="E726" s="79"/>
    </row>
    <row r="727">
      <c r="E727" s="79"/>
    </row>
    <row r="728">
      <c r="E728" s="79"/>
    </row>
    <row r="729">
      <c r="E729" s="79"/>
    </row>
    <row r="730">
      <c r="E730" s="79"/>
    </row>
    <row r="731">
      <c r="E731" s="79"/>
    </row>
    <row r="732">
      <c r="E732" s="79"/>
    </row>
    <row r="733">
      <c r="E733" s="79"/>
    </row>
    <row r="734">
      <c r="E734" s="79"/>
    </row>
    <row r="735">
      <c r="E735" s="79"/>
    </row>
    <row r="736">
      <c r="E736" s="79"/>
    </row>
    <row r="737">
      <c r="E737" s="79"/>
    </row>
    <row r="738">
      <c r="E738" s="79"/>
    </row>
    <row r="739">
      <c r="E739" s="79"/>
    </row>
    <row r="740">
      <c r="E740" s="79"/>
    </row>
    <row r="741">
      <c r="E741" s="79"/>
    </row>
    <row r="742">
      <c r="E742" s="79"/>
    </row>
    <row r="743">
      <c r="E743" s="79"/>
    </row>
    <row r="744">
      <c r="E744" s="79"/>
    </row>
    <row r="745">
      <c r="E745" s="79"/>
    </row>
    <row r="746">
      <c r="E746" s="79"/>
    </row>
    <row r="747">
      <c r="E747" s="79"/>
    </row>
    <row r="748">
      <c r="E748" s="79"/>
    </row>
    <row r="749">
      <c r="E749" s="79"/>
    </row>
    <row r="750">
      <c r="E750" s="79"/>
    </row>
    <row r="751">
      <c r="E751" s="79"/>
    </row>
    <row r="752">
      <c r="E752" s="79"/>
    </row>
    <row r="753">
      <c r="E753" s="79"/>
    </row>
    <row r="754">
      <c r="E754" s="79"/>
    </row>
    <row r="755">
      <c r="E755" s="79"/>
    </row>
    <row r="756">
      <c r="E756" s="79"/>
    </row>
    <row r="757">
      <c r="E757" s="79"/>
    </row>
    <row r="758">
      <c r="E758" s="79"/>
    </row>
    <row r="759">
      <c r="E759" s="79"/>
    </row>
    <row r="760">
      <c r="E760" s="79"/>
    </row>
    <row r="761">
      <c r="E761" s="79"/>
    </row>
    <row r="762">
      <c r="E762" s="79"/>
    </row>
    <row r="763">
      <c r="E763" s="79"/>
    </row>
    <row r="764">
      <c r="E764" s="79"/>
    </row>
    <row r="765">
      <c r="E765" s="79"/>
    </row>
    <row r="766">
      <c r="E766" s="79"/>
    </row>
    <row r="767">
      <c r="E767" s="79"/>
    </row>
    <row r="768">
      <c r="E768" s="79"/>
    </row>
    <row r="769">
      <c r="E769" s="79"/>
    </row>
    <row r="770">
      <c r="E770" s="79"/>
    </row>
    <row r="771">
      <c r="E771" s="79"/>
    </row>
    <row r="772">
      <c r="E772" s="79"/>
    </row>
    <row r="773">
      <c r="E773" s="79"/>
    </row>
    <row r="774">
      <c r="E774" s="79"/>
    </row>
    <row r="775">
      <c r="E775" s="79"/>
    </row>
    <row r="776">
      <c r="E776" s="79"/>
    </row>
    <row r="777">
      <c r="E777" s="79"/>
    </row>
    <row r="778">
      <c r="E778" s="79"/>
    </row>
    <row r="779">
      <c r="E779" s="79"/>
    </row>
    <row r="780">
      <c r="E780" s="79"/>
    </row>
    <row r="781">
      <c r="E781" s="79"/>
    </row>
    <row r="782">
      <c r="E782" s="79"/>
    </row>
    <row r="783">
      <c r="E783" s="79"/>
    </row>
    <row r="784">
      <c r="E784" s="79"/>
    </row>
    <row r="785">
      <c r="E785" s="79"/>
    </row>
    <row r="786">
      <c r="E786" s="79"/>
    </row>
    <row r="787">
      <c r="E787" s="79"/>
    </row>
    <row r="788">
      <c r="E788" s="79"/>
    </row>
    <row r="789">
      <c r="E789" s="79"/>
    </row>
    <row r="790">
      <c r="E790" s="79"/>
    </row>
    <row r="791">
      <c r="E791" s="79"/>
    </row>
    <row r="792">
      <c r="E792" s="79"/>
    </row>
    <row r="793">
      <c r="E793" s="79"/>
    </row>
    <row r="794">
      <c r="E794" s="79"/>
    </row>
    <row r="795">
      <c r="E795" s="79"/>
    </row>
    <row r="796">
      <c r="E796" s="79"/>
    </row>
    <row r="797">
      <c r="E797" s="79"/>
    </row>
    <row r="798">
      <c r="E798" s="79"/>
    </row>
    <row r="799">
      <c r="E799" s="79"/>
    </row>
    <row r="800">
      <c r="E800" s="79"/>
    </row>
    <row r="801">
      <c r="E801" s="79"/>
    </row>
    <row r="802">
      <c r="E802" s="79"/>
    </row>
    <row r="803">
      <c r="E803" s="79"/>
    </row>
    <row r="804">
      <c r="E804" s="79"/>
    </row>
    <row r="805">
      <c r="E805" s="79"/>
    </row>
    <row r="806">
      <c r="E806" s="79"/>
    </row>
    <row r="807">
      <c r="E807" s="79"/>
    </row>
    <row r="808">
      <c r="E808" s="79"/>
    </row>
    <row r="809">
      <c r="E809" s="79"/>
    </row>
    <row r="810">
      <c r="E810" s="79"/>
    </row>
    <row r="811">
      <c r="E811" s="79"/>
    </row>
    <row r="812">
      <c r="E812" s="79"/>
    </row>
    <row r="813">
      <c r="E813" s="79"/>
    </row>
    <row r="814">
      <c r="E814" s="79"/>
    </row>
    <row r="815">
      <c r="E815" s="79"/>
    </row>
    <row r="816">
      <c r="E816" s="79"/>
    </row>
    <row r="817">
      <c r="E817" s="79"/>
    </row>
    <row r="818">
      <c r="E818" s="79"/>
    </row>
    <row r="819">
      <c r="E819" s="79"/>
    </row>
    <row r="820">
      <c r="E820" s="79"/>
    </row>
    <row r="821">
      <c r="E821" s="79"/>
    </row>
    <row r="822">
      <c r="E822" s="79"/>
    </row>
    <row r="823">
      <c r="E823" s="79"/>
    </row>
    <row r="824">
      <c r="E824" s="79"/>
    </row>
    <row r="825">
      <c r="E825" s="79"/>
    </row>
    <row r="826">
      <c r="E826" s="79"/>
    </row>
    <row r="827">
      <c r="E827" s="79"/>
    </row>
    <row r="828">
      <c r="E828" s="79"/>
    </row>
    <row r="829">
      <c r="E829" s="79"/>
    </row>
    <row r="830">
      <c r="E830" s="79"/>
    </row>
    <row r="831">
      <c r="E831" s="79"/>
    </row>
    <row r="832">
      <c r="E832" s="79"/>
    </row>
    <row r="833">
      <c r="E833" s="79"/>
    </row>
    <row r="834">
      <c r="E834" s="79"/>
    </row>
    <row r="835">
      <c r="E835" s="79"/>
    </row>
    <row r="836">
      <c r="E836" s="79"/>
    </row>
    <row r="837">
      <c r="E837" s="79"/>
    </row>
    <row r="838">
      <c r="E838" s="79"/>
    </row>
    <row r="839">
      <c r="E839" s="79"/>
    </row>
    <row r="840">
      <c r="E840" s="79"/>
    </row>
    <row r="841">
      <c r="E841" s="79"/>
    </row>
    <row r="842">
      <c r="E842" s="79"/>
    </row>
    <row r="843">
      <c r="E843" s="79"/>
    </row>
    <row r="844">
      <c r="E844" s="79"/>
    </row>
    <row r="845">
      <c r="E845" s="79"/>
    </row>
    <row r="846">
      <c r="E846" s="79"/>
    </row>
    <row r="847">
      <c r="E847" s="79"/>
    </row>
    <row r="848">
      <c r="E848" s="79"/>
    </row>
    <row r="849">
      <c r="E849" s="79"/>
    </row>
    <row r="850">
      <c r="E850" s="79"/>
    </row>
    <row r="851">
      <c r="E851" s="79"/>
    </row>
    <row r="852">
      <c r="E852" s="79"/>
    </row>
    <row r="853">
      <c r="E853" s="79"/>
    </row>
    <row r="854">
      <c r="E854" s="79"/>
    </row>
    <row r="855">
      <c r="E855" s="79"/>
    </row>
    <row r="856">
      <c r="E856" s="79"/>
    </row>
    <row r="857">
      <c r="E857" s="79"/>
    </row>
    <row r="858">
      <c r="E858" s="79"/>
    </row>
    <row r="859">
      <c r="E859" s="79"/>
    </row>
    <row r="860">
      <c r="E860" s="79"/>
    </row>
    <row r="861">
      <c r="E861" s="79"/>
    </row>
    <row r="862">
      <c r="E862" s="79"/>
    </row>
    <row r="863">
      <c r="E863" s="79"/>
    </row>
    <row r="864">
      <c r="E864" s="79"/>
    </row>
    <row r="865">
      <c r="E865" s="79"/>
    </row>
    <row r="866">
      <c r="E866" s="79"/>
    </row>
    <row r="867">
      <c r="E867" s="79"/>
    </row>
    <row r="868">
      <c r="E868" s="79"/>
    </row>
    <row r="869">
      <c r="E869" s="79"/>
    </row>
    <row r="870">
      <c r="E870" s="79"/>
    </row>
    <row r="871">
      <c r="E871" s="79"/>
    </row>
    <row r="872">
      <c r="E872" s="79"/>
    </row>
    <row r="873">
      <c r="E873" s="79"/>
    </row>
    <row r="874">
      <c r="E874" s="79"/>
    </row>
    <row r="875">
      <c r="E875" s="79"/>
    </row>
    <row r="876">
      <c r="E876" s="79"/>
    </row>
    <row r="877">
      <c r="E877" s="79"/>
    </row>
    <row r="878">
      <c r="E878" s="79"/>
    </row>
    <row r="879">
      <c r="E879" s="79"/>
    </row>
    <row r="880">
      <c r="E880" s="79"/>
    </row>
    <row r="881">
      <c r="E881" s="79"/>
    </row>
    <row r="882">
      <c r="E882" s="79"/>
    </row>
    <row r="883">
      <c r="E883" s="79"/>
    </row>
    <row r="884">
      <c r="E884" s="79"/>
    </row>
    <row r="885">
      <c r="E885" s="79"/>
    </row>
    <row r="886">
      <c r="E886" s="79"/>
    </row>
    <row r="887">
      <c r="E887" s="79"/>
    </row>
    <row r="888">
      <c r="E888" s="79"/>
    </row>
    <row r="889">
      <c r="E889" s="79"/>
    </row>
    <row r="890">
      <c r="E890" s="79"/>
    </row>
    <row r="891">
      <c r="E891" s="79"/>
    </row>
    <row r="892">
      <c r="E892" s="79"/>
    </row>
    <row r="893">
      <c r="E893" s="79"/>
    </row>
    <row r="894">
      <c r="E894" s="79"/>
    </row>
    <row r="895">
      <c r="E895" s="79"/>
    </row>
    <row r="896">
      <c r="E896" s="79"/>
    </row>
    <row r="897">
      <c r="E897" s="79"/>
    </row>
    <row r="898">
      <c r="E898" s="79"/>
    </row>
    <row r="899">
      <c r="E899" s="79"/>
    </row>
    <row r="900">
      <c r="E900" s="79"/>
    </row>
    <row r="901">
      <c r="E901" s="79"/>
    </row>
    <row r="902">
      <c r="E902" s="79"/>
    </row>
    <row r="903">
      <c r="E903" s="79"/>
    </row>
    <row r="904">
      <c r="E904" s="79"/>
    </row>
    <row r="905">
      <c r="E905" s="79"/>
    </row>
    <row r="906">
      <c r="E906" s="79"/>
    </row>
    <row r="907">
      <c r="E907" s="79"/>
    </row>
    <row r="908">
      <c r="E908" s="79"/>
    </row>
    <row r="909">
      <c r="E909" s="79"/>
    </row>
    <row r="910">
      <c r="E910" s="79"/>
    </row>
    <row r="911">
      <c r="E911" s="79"/>
    </row>
    <row r="912">
      <c r="E912" s="79"/>
    </row>
    <row r="913">
      <c r="E913" s="79"/>
    </row>
    <row r="914">
      <c r="E914" s="79"/>
    </row>
    <row r="915">
      <c r="E915" s="79"/>
    </row>
    <row r="916">
      <c r="E916" s="79"/>
    </row>
    <row r="917">
      <c r="E917" s="79"/>
    </row>
    <row r="918">
      <c r="E918" s="79"/>
    </row>
    <row r="919">
      <c r="E919" s="79"/>
    </row>
    <row r="920">
      <c r="E920" s="79"/>
    </row>
    <row r="921">
      <c r="E921" s="79"/>
    </row>
    <row r="922">
      <c r="E922" s="79"/>
    </row>
    <row r="923">
      <c r="E923" s="79"/>
    </row>
    <row r="924">
      <c r="E924" s="79"/>
    </row>
    <row r="925">
      <c r="E925" s="79"/>
    </row>
    <row r="926">
      <c r="E926" s="79"/>
    </row>
    <row r="927">
      <c r="E927" s="79"/>
    </row>
    <row r="928">
      <c r="E928" s="79"/>
    </row>
    <row r="929">
      <c r="E929" s="79"/>
    </row>
    <row r="930">
      <c r="E930" s="79"/>
    </row>
    <row r="931">
      <c r="E931" s="79"/>
    </row>
    <row r="932">
      <c r="E932" s="79"/>
    </row>
    <row r="933">
      <c r="E933" s="79"/>
    </row>
    <row r="934">
      <c r="E934" s="79"/>
    </row>
    <row r="935">
      <c r="E935" s="79"/>
    </row>
    <row r="936">
      <c r="E936" s="79"/>
    </row>
    <row r="937">
      <c r="E937" s="79"/>
    </row>
    <row r="938">
      <c r="E938" s="79"/>
    </row>
    <row r="939">
      <c r="E939" s="79"/>
    </row>
    <row r="940">
      <c r="E940" s="79"/>
    </row>
    <row r="941">
      <c r="E941" s="79"/>
    </row>
    <row r="942">
      <c r="E942" s="79"/>
    </row>
    <row r="943">
      <c r="E943" s="79"/>
    </row>
    <row r="944">
      <c r="E944" s="79"/>
    </row>
    <row r="945">
      <c r="E945" s="79"/>
    </row>
    <row r="946">
      <c r="E946" s="79"/>
    </row>
    <row r="947">
      <c r="E947" s="79"/>
    </row>
    <row r="948">
      <c r="E948" s="79"/>
    </row>
    <row r="949">
      <c r="E949" s="79"/>
    </row>
    <row r="950">
      <c r="E950" s="79"/>
    </row>
    <row r="951">
      <c r="E951" s="79"/>
    </row>
    <row r="952">
      <c r="E952" s="79"/>
    </row>
    <row r="953">
      <c r="E953" s="79"/>
    </row>
    <row r="954">
      <c r="E954" s="79"/>
    </row>
    <row r="955">
      <c r="E955" s="79"/>
    </row>
    <row r="956">
      <c r="E956" s="79"/>
    </row>
    <row r="957">
      <c r="E957" s="79"/>
    </row>
    <row r="958">
      <c r="E958" s="79"/>
    </row>
    <row r="959">
      <c r="E959" s="79"/>
    </row>
    <row r="960">
      <c r="E960" s="79"/>
    </row>
    <row r="961">
      <c r="E961" s="79"/>
    </row>
    <row r="962">
      <c r="E962" s="79"/>
    </row>
    <row r="963">
      <c r="E963" s="79"/>
    </row>
    <row r="964">
      <c r="E964" s="79"/>
    </row>
    <row r="965">
      <c r="E965" s="79"/>
    </row>
    <row r="966">
      <c r="E966" s="79"/>
    </row>
    <row r="967">
      <c r="E967" s="79"/>
    </row>
    <row r="968">
      <c r="E968" s="79"/>
    </row>
    <row r="969">
      <c r="E969" s="79"/>
    </row>
    <row r="970">
      <c r="E970" s="79"/>
    </row>
    <row r="971">
      <c r="E971" s="79"/>
    </row>
    <row r="972">
      <c r="E972" s="79"/>
    </row>
    <row r="973">
      <c r="E973" s="79"/>
    </row>
    <row r="974">
      <c r="E974" s="79"/>
    </row>
    <row r="975">
      <c r="E975" s="79"/>
    </row>
    <row r="976">
      <c r="E976" s="79"/>
    </row>
    <row r="977">
      <c r="E977" s="79"/>
    </row>
    <row r="978">
      <c r="E978" s="79"/>
    </row>
    <row r="979">
      <c r="E979" s="79"/>
    </row>
    <row r="980">
      <c r="E980" s="79"/>
    </row>
    <row r="981">
      <c r="E981" s="79"/>
    </row>
    <row r="982">
      <c r="E982" s="79"/>
    </row>
    <row r="983">
      <c r="E983" s="79"/>
    </row>
    <row r="984">
      <c r="E984" s="79"/>
    </row>
    <row r="985">
      <c r="E985" s="79"/>
    </row>
    <row r="986">
      <c r="E986" s="79"/>
    </row>
    <row r="987">
      <c r="E987" s="79"/>
    </row>
    <row r="988">
      <c r="E988" s="79"/>
    </row>
    <row r="989">
      <c r="E989" s="79"/>
    </row>
    <row r="990">
      <c r="E990" s="79"/>
    </row>
    <row r="991">
      <c r="E991" s="79"/>
    </row>
    <row r="992">
      <c r="E992" s="79"/>
    </row>
    <row r="993">
      <c r="E993" s="79"/>
    </row>
    <row r="994">
      <c r="E994" s="79"/>
    </row>
    <row r="995">
      <c r="E995" s="79"/>
    </row>
    <row r="996">
      <c r="E996" s="79"/>
    </row>
    <row r="997">
      <c r="E997" s="79"/>
    </row>
    <row r="998">
      <c r="E998" s="79"/>
    </row>
    <row r="999">
      <c r="E999" s="7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3" max="3" width="14.25"/>
    <col customWidth="1" min="4" max="4" width="32.13"/>
    <col customWidth="1" min="5" max="5" width="19.88"/>
  </cols>
  <sheetData>
    <row r="1">
      <c r="A1" s="6" t="s">
        <v>475</v>
      </c>
      <c r="B1" s="6" t="s">
        <v>593</v>
      </c>
      <c r="C1" s="6" t="s">
        <v>594</v>
      </c>
      <c r="D1" s="88" t="s">
        <v>476</v>
      </c>
      <c r="E1" s="88" t="s">
        <v>48</v>
      </c>
      <c r="F1" s="6" t="s">
        <v>37</v>
      </c>
      <c r="G1" s="6" t="s">
        <v>51</v>
      </c>
      <c r="H1" s="6"/>
      <c r="I1" s="6"/>
      <c r="J1" s="6"/>
      <c r="K1" s="6"/>
    </row>
    <row r="2">
      <c r="C2" s="90">
        <v>45565.0</v>
      </c>
      <c r="D2" s="20" t="s">
        <v>595</v>
      </c>
      <c r="E2" s="79"/>
      <c r="N2" s="13" t="s">
        <v>596</v>
      </c>
    </row>
    <row r="3">
      <c r="C3" s="90">
        <v>45565.0</v>
      </c>
      <c r="D3" s="20" t="s">
        <v>597</v>
      </c>
      <c r="E3" s="79"/>
      <c r="N3" s="13" t="s">
        <v>598</v>
      </c>
    </row>
    <row r="4">
      <c r="C4" s="90">
        <v>45572.0</v>
      </c>
      <c r="D4" s="20" t="s">
        <v>599</v>
      </c>
      <c r="E4" s="20" t="s">
        <v>600</v>
      </c>
    </row>
    <row r="5">
      <c r="C5" s="90">
        <v>45572.0</v>
      </c>
      <c r="D5" s="20" t="s">
        <v>601</v>
      </c>
      <c r="E5" s="20"/>
    </row>
    <row r="6">
      <c r="C6" s="90">
        <v>45572.0</v>
      </c>
      <c r="D6" s="20" t="s">
        <v>602</v>
      </c>
      <c r="E6" s="79"/>
    </row>
    <row r="7">
      <c r="C7" s="90">
        <v>45572.0</v>
      </c>
      <c r="D7" s="20" t="s">
        <v>603</v>
      </c>
      <c r="E7" s="79"/>
    </row>
    <row r="8">
      <c r="C8" s="90">
        <v>45572.0</v>
      </c>
      <c r="D8" s="20" t="s">
        <v>604</v>
      </c>
      <c r="E8" s="79"/>
    </row>
    <row r="9">
      <c r="C9" s="90">
        <v>45572.0</v>
      </c>
      <c r="D9" s="20" t="s">
        <v>605</v>
      </c>
      <c r="E9" s="79"/>
    </row>
    <row r="10">
      <c r="C10" s="90">
        <v>45572.0</v>
      </c>
      <c r="D10" s="20" t="s">
        <v>606</v>
      </c>
      <c r="E10" s="20"/>
    </row>
    <row r="11">
      <c r="C11" s="90">
        <v>45572.0</v>
      </c>
      <c r="D11" s="20" t="s">
        <v>607</v>
      </c>
      <c r="E11" s="20"/>
      <c r="N11" s="13" t="s">
        <v>608</v>
      </c>
    </row>
    <row r="12">
      <c r="C12" s="90">
        <v>45579.0</v>
      </c>
      <c r="D12" s="20" t="s">
        <v>609</v>
      </c>
      <c r="E12" s="79"/>
    </row>
    <row r="13">
      <c r="C13" s="90">
        <v>45579.0</v>
      </c>
      <c r="D13" s="20" t="s">
        <v>610</v>
      </c>
      <c r="E13" s="79"/>
    </row>
    <row r="14">
      <c r="C14" s="90">
        <v>45579.0</v>
      </c>
      <c r="D14" s="20" t="s">
        <v>611</v>
      </c>
      <c r="E14" s="79"/>
    </row>
    <row r="15">
      <c r="C15" s="90">
        <v>45579.0</v>
      </c>
      <c r="D15" s="20" t="s">
        <v>612</v>
      </c>
      <c r="E15" s="20" t="s">
        <v>613</v>
      </c>
    </row>
    <row r="16">
      <c r="C16" s="90">
        <v>45579.0</v>
      </c>
      <c r="D16" s="20" t="s">
        <v>614</v>
      </c>
      <c r="E16" s="79"/>
    </row>
    <row r="17">
      <c r="C17" s="90">
        <v>45587.0</v>
      </c>
      <c r="D17" s="20" t="s">
        <v>615</v>
      </c>
      <c r="E17" s="79"/>
    </row>
    <row r="18">
      <c r="C18" s="90">
        <v>45587.0</v>
      </c>
      <c r="D18" s="20" t="s">
        <v>616</v>
      </c>
      <c r="E18" s="79"/>
    </row>
    <row r="19">
      <c r="C19" s="90">
        <v>45587.0</v>
      </c>
      <c r="D19" s="20" t="s">
        <v>617</v>
      </c>
      <c r="E19" s="79"/>
    </row>
    <row r="20">
      <c r="C20" s="90">
        <v>45587.0</v>
      </c>
      <c r="D20" s="20" t="s">
        <v>618</v>
      </c>
      <c r="E20" s="79"/>
    </row>
    <row r="21">
      <c r="C21" s="91">
        <v>45587.0</v>
      </c>
      <c r="D21" s="20" t="s">
        <v>619</v>
      </c>
      <c r="E21" s="79"/>
    </row>
    <row r="22">
      <c r="C22" s="91">
        <v>45593.0</v>
      </c>
      <c r="D22" s="20" t="s">
        <v>620</v>
      </c>
      <c r="E22" s="79"/>
    </row>
    <row r="23">
      <c r="C23" s="91">
        <v>45593.0</v>
      </c>
      <c r="D23" s="20" t="s">
        <v>621</v>
      </c>
      <c r="E23" s="20" t="s">
        <v>622</v>
      </c>
    </row>
    <row r="24">
      <c r="C24" s="79"/>
      <c r="D24" s="79"/>
      <c r="E24" s="79"/>
    </row>
    <row r="25">
      <c r="C25" s="79"/>
      <c r="D25" s="79"/>
      <c r="E25" s="79"/>
    </row>
    <row r="26">
      <c r="C26" s="79"/>
      <c r="D26" s="79"/>
      <c r="E26" s="79"/>
    </row>
    <row r="27">
      <c r="C27" s="79"/>
      <c r="D27" s="79"/>
      <c r="E27" s="79"/>
    </row>
    <row r="28">
      <c r="C28" s="79"/>
      <c r="D28" s="79"/>
      <c r="E28" s="79"/>
    </row>
    <row r="29">
      <c r="C29" s="79"/>
      <c r="D29" s="79"/>
      <c r="E29" s="79"/>
    </row>
    <row r="30">
      <c r="C30" s="79"/>
      <c r="D30" s="79"/>
      <c r="E30" s="79"/>
    </row>
    <row r="31">
      <c r="C31" s="79"/>
      <c r="D31" s="79"/>
      <c r="E31" s="79"/>
    </row>
    <row r="32">
      <c r="C32" s="79"/>
      <c r="D32" s="79"/>
      <c r="E32" s="79"/>
    </row>
    <row r="33">
      <c r="C33" s="79"/>
      <c r="D33" s="79"/>
      <c r="E33" s="79"/>
    </row>
    <row r="34">
      <c r="C34" s="79"/>
      <c r="D34" s="79"/>
      <c r="E34" s="79"/>
    </row>
    <row r="35">
      <c r="C35" s="79"/>
      <c r="D35" s="79"/>
      <c r="E35" s="79"/>
    </row>
    <row r="36">
      <c r="C36" s="79"/>
      <c r="D36" s="79"/>
      <c r="E36" s="79"/>
    </row>
    <row r="37">
      <c r="C37" s="79"/>
      <c r="D37" s="79"/>
      <c r="E37" s="79"/>
    </row>
    <row r="38">
      <c r="C38" s="79"/>
      <c r="D38" s="79"/>
      <c r="E38" s="79"/>
    </row>
    <row r="39">
      <c r="C39" s="79"/>
      <c r="D39" s="79"/>
      <c r="E39" s="79"/>
    </row>
    <row r="40">
      <c r="C40" s="79"/>
      <c r="D40" s="79"/>
      <c r="E40" s="79"/>
    </row>
    <row r="41">
      <c r="C41" s="79"/>
      <c r="D41" s="79"/>
      <c r="E41" s="79"/>
    </row>
    <row r="42">
      <c r="C42" s="79"/>
      <c r="D42" s="79"/>
      <c r="E42" s="79"/>
    </row>
    <row r="43">
      <c r="C43" s="79"/>
      <c r="D43" s="79"/>
      <c r="E43" s="79"/>
    </row>
    <row r="44">
      <c r="C44" s="79"/>
      <c r="D44" s="79"/>
      <c r="E44" s="79"/>
    </row>
    <row r="45">
      <c r="C45" s="79"/>
      <c r="D45" s="79"/>
      <c r="E45" s="79"/>
    </row>
    <row r="46">
      <c r="C46" s="79"/>
      <c r="D46" s="79"/>
      <c r="E46" s="79"/>
    </row>
    <row r="47">
      <c r="C47" s="79"/>
      <c r="D47" s="79"/>
      <c r="E47" s="79"/>
    </row>
    <row r="48">
      <c r="C48" s="79"/>
      <c r="D48" s="79"/>
      <c r="E48" s="79"/>
    </row>
    <row r="49">
      <c r="C49" s="79"/>
      <c r="D49" s="79"/>
      <c r="E49" s="79"/>
    </row>
    <row r="50">
      <c r="C50" s="79"/>
      <c r="D50" s="79"/>
      <c r="E50" s="79"/>
    </row>
    <row r="51">
      <c r="C51" s="79"/>
      <c r="D51" s="79"/>
      <c r="E51" s="79"/>
    </row>
    <row r="52">
      <c r="C52" s="79"/>
      <c r="D52" s="79"/>
      <c r="E52" s="79"/>
    </row>
    <row r="53">
      <c r="C53" s="79"/>
      <c r="D53" s="79"/>
      <c r="E53" s="79"/>
    </row>
    <row r="54">
      <c r="C54" s="79"/>
      <c r="D54" s="79"/>
      <c r="E54" s="79"/>
    </row>
    <row r="55">
      <c r="C55" s="79"/>
      <c r="D55" s="79"/>
      <c r="E55" s="79"/>
    </row>
    <row r="56">
      <c r="C56" s="79"/>
      <c r="D56" s="79"/>
      <c r="E56" s="79"/>
    </row>
    <row r="57">
      <c r="C57" s="79"/>
      <c r="D57" s="79"/>
      <c r="E57" s="79"/>
    </row>
    <row r="58">
      <c r="C58" s="79"/>
      <c r="D58" s="79"/>
      <c r="E58" s="79"/>
    </row>
    <row r="59">
      <c r="C59" s="79"/>
      <c r="D59" s="79"/>
      <c r="E59" s="79"/>
    </row>
    <row r="60">
      <c r="C60" s="79"/>
      <c r="D60" s="79"/>
      <c r="E60" s="79"/>
    </row>
    <row r="61">
      <c r="C61" s="79"/>
      <c r="D61" s="79"/>
      <c r="E61" s="79"/>
    </row>
    <row r="62">
      <c r="C62" s="79"/>
      <c r="D62" s="79"/>
      <c r="E62" s="79"/>
    </row>
    <row r="63">
      <c r="C63" s="79"/>
      <c r="D63" s="79"/>
      <c r="E63" s="79"/>
    </row>
    <row r="64">
      <c r="C64" s="79"/>
      <c r="D64" s="79"/>
      <c r="E64" s="79"/>
    </row>
    <row r="65">
      <c r="C65" s="79"/>
      <c r="D65" s="79"/>
      <c r="E65" s="79"/>
    </row>
    <row r="66">
      <c r="C66" s="79"/>
      <c r="D66" s="79"/>
      <c r="E66" s="79"/>
    </row>
    <row r="67">
      <c r="C67" s="79"/>
      <c r="D67" s="79"/>
      <c r="E67" s="79"/>
    </row>
    <row r="68">
      <c r="C68" s="79"/>
      <c r="D68" s="79"/>
      <c r="E68" s="79"/>
    </row>
    <row r="69">
      <c r="C69" s="79"/>
      <c r="D69" s="79"/>
      <c r="E69" s="79"/>
    </row>
    <row r="70">
      <c r="C70" s="79"/>
      <c r="D70" s="79"/>
      <c r="E70" s="79"/>
    </row>
    <row r="71">
      <c r="C71" s="79"/>
      <c r="D71" s="79"/>
      <c r="E71" s="79"/>
    </row>
    <row r="72">
      <c r="C72" s="79"/>
      <c r="D72" s="79"/>
      <c r="E72" s="79"/>
    </row>
    <row r="73">
      <c r="C73" s="79"/>
      <c r="D73" s="79"/>
      <c r="E73" s="79"/>
    </row>
    <row r="74">
      <c r="C74" s="79"/>
      <c r="D74" s="79"/>
      <c r="E74" s="79"/>
    </row>
    <row r="75">
      <c r="C75" s="79"/>
      <c r="D75" s="79"/>
      <c r="E75" s="79"/>
    </row>
    <row r="76">
      <c r="C76" s="79"/>
      <c r="D76" s="79"/>
      <c r="E76" s="79"/>
    </row>
    <row r="77">
      <c r="C77" s="79"/>
      <c r="D77" s="79"/>
      <c r="E77" s="79"/>
    </row>
    <row r="78">
      <c r="C78" s="79"/>
      <c r="D78" s="79"/>
      <c r="E78" s="79"/>
    </row>
    <row r="79">
      <c r="C79" s="79"/>
      <c r="D79" s="79"/>
      <c r="E79" s="79"/>
    </row>
    <row r="80">
      <c r="C80" s="79"/>
      <c r="D80" s="79"/>
      <c r="E80" s="79"/>
    </row>
    <row r="81">
      <c r="C81" s="79"/>
      <c r="D81" s="79"/>
      <c r="E81" s="79"/>
    </row>
    <row r="82">
      <c r="C82" s="79"/>
      <c r="D82" s="79"/>
      <c r="E82" s="79"/>
    </row>
    <row r="83">
      <c r="C83" s="79"/>
      <c r="D83" s="79"/>
      <c r="E83" s="79"/>
    </row>
    <row r="84">
      <c r="C84" s="79"/>
      <c r="D84" s="79"/>
      <c r="E84" s="79"/>
    </row>
    <row r="85">
      <c r="C85" s="79"/>
      <c r="D85" s="79"/>
      <c r="E85" s="79"/>
    </row>
    <row r="86">
      <c r="C86" s="79"/>
      <c r="D86" s="79"/>
      <c r="E86" s="79"/>
    </row>
    <row r="87">
      <c r="C87" s="79"/>
      <c r="D87" s="79"/>
      <c r="E87" s="79"/>
    </row>
    <row r="88">
      <c r="C88" s="79"/>
      <c r="D88" s="79"/>
      <c r="E88" s="79"/>
    </row>
    <row r="89">
      <c r="C89" s="79"/>
      <c r="D89" s="79"/>
      <c r="E89" s="79"/>
    </row>
    <row r="90">
      <c r="C90" s="79"/>
      <c r="D90" s="79"/>
      <c r="E90" s="79"/>
    </row>
    <row r="91">
      <c r="C91" s="79"/>
      <c r="D91" s="79"/>
      <c r="E91" s="79"/>
    </row>
    <row r="92">
      <c r="C92" s="79"/>
      <c r="D92" s="79"/>
      <c r="E92" s="79"/>
    </row>
    <row r="93">
      <c r="C93" s="79"/>
      <c r="D93" s="79"/>
      <c r="E93" s="79"/>
    </row>
    <row r="94">
      <c r="C94" s="79"/>
      <c r="D94" s="79"/>
      <c r="E94" s="79"/>
    </row>
    <row r="95">
      <c r="C95" s="79"/>
      <c r="D95" s="79"/>
      <c r="E95" s="79"/>
    </row>
    <row r="96">
      <c r="C96" s="79"/>
      <c r="D96" s="79"/>
      <c r="E96" s="79"/>
    </row>
    <row r="97">
      <c r="C97" s="79"/>
      <c r="D97" s="79"/>
      <c r="E97" s="79"/>
    </row>
    <row r="98">
      <c r="C98" s="79"/>
      <c r="D98" s="79"/>
      <c r="E98" s="79"/>
    </row>
    <row r="99">
      <c r="C99" s="79"/>
      <c r="D99" s="79"/>
      <c r="E99" s="79"/>
    </row>
    <row r="100">
      <c r="C100" s="79"/>
      <c r="D100" s="79"/>
      <c r="E100" s="79"/>
    </row>
    <row r="101">
      <c r="C101" s="79"/>
      <c r="D101" s="79"/>
      <c r="E101" s="79"/>
    </row>
    <row r="102">
      <c r="C102" s="79"/>
      <c r="D102" s="79"/>
      <c r="E102" s="79"/>
    </row>
    <row r="103">
      <c r="C103" s="79"/>
      <c r="D103" s="79"/>
      <c r="E103" s="79"/>
    </row>
    <row r="104">
      <c r="C104" s="79"/>
      <c r="D104" s="79"/>
      <c r="E104" s="79"/>
    </row>
    <row r="105">
      <c r="C105" s="79"/>
      <c r="D105" s="79"/>
      <c r="E105" s="79"/>
    </row>
    <row r="106">
      <c r="C106" s="79"/>
      <c r="D106" s="79"/>
      <c r="E106" s="79"/>
    </row>
    <row r="107">
      <c r="C107" s="79"/>
      <c r="D107" s="79"/>
      <c r="E107" s="79"/>
    </row>
    <row r="108">
      <c r="C108" s="79"/>
      <c r="D108" s="79"/>
      <c r="E108" s="79"/>
    </row>
    <row r="109">
      <c r="C109" s="79"/>
      <c r="D109" s="79"/>
      <c r="E109" s="79"/>
    </row>
    <row r="110">
      <c r="C110" s="79"/>
      <c r="D110" s="79"/>
      <c r="E110" s="79"/>
    </row>
    <row r="111">
      <c r="C111" s="79"/>
      <c r="D111" s="79"/>
      <c r="E111" s="79"/>
    </row>
    <row r="112">
      <c r="C112" s="79"/>
      <c r="D112" s="79"/>
      <c r="E112" s="79"/>
    </row>
    <row r="113">
      <c r="C113" s="79"/>
      <c r="D113" s="79"/>
      <c r="E113" s="79"/>
    </row>
    <row r="114">
      <c r="C114" s="79"/>
      <c r="D114" s="79"/>
      <c r="E114" s="79"/>
    </row>
    <row r="115">
      <c r="C115" s="79"/>
      <c r="D115" s="79"/>
      <c r="E115" s="79"/>
    </row>
    <row r="116">
      <c r="C116" s="79"/>
      <c r="D116" s="79"/>
      <c r="E116" s="79"/>
    </row>
    <row r="117">
      <c r="C117" s="79"/>
      <c r="D117" s="79"/>
      <c r="E117" s="79"/>
    </row>
    <row r="118">
      <c r="C118" s="79"/>
      <c r="D118" s="79"/>
      <c r="E118" s="79"/>
    </row>
    <row r="119">
      <c r="C119" s="79"/>
      <c r="D119" s="79"/>
      <c r="E119" s="79"/>
    </row>
    <row r="120">
      <c r="C120" s="79"/>
      <c r="D120" s="79"/>
      <c r="E120" s="79"/>
    </row>
    <row r="121">
      <c r="C121" s="79"/>
      <c r="D121" s="79"/>
      <c r="E121" s="79"/>
    </row>
    <row r="122">
      <c r="C122" s="79"/>
      <c r="D122" s="79"/>
      <c r="E122" s="79"/>
    </row>
    <row r="123">
      <c r="C123" s="79"/>
      <c r="D123" s="79"/>
      <c r="E123" s="79"/>
    </row>
    <row r="124">
      <c r="C124" s="79"/>
      <c r="D124" s="79"/>
      <c r="E124" s="79"/>
    </row>
    <row r="125">
      <c r="C125" s="79"/>
      <c r="D125" s="79"/>
      <c r="E125" s="79"/>
    </row>
    <row r="126">
      <c r="C126" s="79"/>
      <c r="D126" s="79"/>
      <c r="E126" s="79"/>
    </row>
    <row r="127">
      <c r="C127" s="79"/>
      <c r="D127" s="79"/>
      <c r="E127" s="79"/>
    </row>
    <row r="128">
      <c r="C128" s="79"/>
      <c r="D128" s="79"/>
      <c r="E128" s="79"/>
    </row>
    <row r="129">
      <c r="C129" s="79"/>
      <c r="D129" s="79"/>
      <c r="E129" s="79"/>
    </row>
    <row r="130">
      <c r="C130" s="79"/>
      <c r="D130" s="79"/>
      <c r="E130" s="79"/>
    </row>
    <row r="131">
      <c r="C131" s="79"/>
      <c r="D131" s="79"/>
      <c r="E131" s="79"/>
    </row>
    <row r="132">
      <c r="C132" s="79"/>
      <c r="D132" s="79"/>
      <c r="E132" s="79"/>
    </row>
    <row r="133">
      <c r="C133" s="79"/>
      <c r="D133" s="79"/>
      <c r="E133" s="79"/>
    </row>
    <row r="134">
      <c r="C134" s="79"/>
      <c r="D134" s="79"/>
      <c r="E134" s="79"/>
    </row>
    <row r="135">
      <c r="C135" s="79"/>
      <c r="D135" s="79"/>
      <c r="E135" s="79"/>
    </row>
    <row r="136">
      <c r="C136" s="79"/>
      <c r="D136" s="79"/>
      <c r="E136" s="79"/>
    </row>
    <row r="137">
      <c r="C137" s="79"/>
      <c r="D137" s="79"/>
      <c r="E137" s="79"/>
    </row>
    <row r="138">
      <c r="C138" s="79"/>
      <c r="D138" s="79"/>
      <c r="E138" s="79"/>
    </row>
    <row r="139">
      <c r="C139" s="79"/>
      <c r="D139" s="79"/>
      <c r="E139" s="79"/>
    </row>
    <row r="140">
      <c r="C140" s="79"/>
      <c r="D140" s="79"/>
      <c r="E140" s="79"/>
    </row>
    <row r="141">
      <c r="C141" s="79"/>
      <c r="D141" s="79"/>
      <c r="E141" s="79"/>
    </row>
    <row r="142">
      <c r="C142" s="79"/>
      <c r="D142" s="79"/>
      <c r="E142" s="79"/>
    </row>
    <row r="143">
      <c r="C143" s="79"/>
      <c r="D143" s="79"/>
      <c r="E143" s="79"/>
    </row>
    <row r="144">
      <c r="C144" s="79"/>
      <c r="D144" s="79"/>
      <c r="E144" s="79"/>
    </row>
    <row r="145">
      <c r="C145" s="79"/>
      <c r="D145" s="79"/>
      <c r="E145" s="79"/>
    </row>
    <row r="146">
      <c r="C146" s="79"/>
      <c r="D146" s="79"/>
      <c r="E146" s="79"/>
    </row>
    <row r="147">
      <c r="C147" s="79"/>
      <c r="D147" s="79"/>
      <c r="E147" s="79"/>
    </row>
    <row r="148">
      <c r="C148" s="79"/>
      <c r="D148" s="79"/>
      <c r="E148" s="79"/>
    </row>
    <row r="149">
      <c r="C149" s="79"/>
      <c r="D149" s="79"/>
      <c r="E149" s="79"/>
    </row>
    <row r="150">
      <c r="C150" s="79"/>
      <c r="D150" s="79"/>
      <c r="E150" s="79"/>
    </row>
    <row r="151">
      <c r="C151" s="79"/>
      <c r="D151" s="79"/>
      <c r="E151" s="79"/>
    </row>
    <row r="152">
      <c r="C152" s="79"/>
      <c r="D152" s="79"/>
      <c r="E152" s="79"/>
    </row>
    <row r="153">
      <c r="C153" s="79"/>
      <c r="D153" s="79"/>
      <c r="E153" s="79"/>
    </row>
    <row r="154">
      <c r="C154" s="79"/>
      <c r="D154" s="79"/>
      <c r="E154" s="79"/>
    </row>
    <row r="155">
      <c r="C155" s="79"/>
      <c r="D155" s="79"/>
      <c r="E155" s="79"/>
    </row>
    <row r="156">
      <c r="C156" s="79"/>
      <c r="D156" s="79"/>
      <c r="E156" s="79"/>
    </row>
    <row r="157">
      <c r="C157" s="79"/>
      <c r="D157" s="79"/>
      <c r="E157" s="79"/>
    </row>
    <row r="158">
      <c r="C158" s="79"/>
      <c r="D158" s="79"/>
      <c r="E158" s="79"/>
    </row>
    <row r="159">
      <c r="C159" s="79"/>
      <c r="D159" s="79"/>
      <c r="E159" s="79"/>
    </row>
    <row r="160">
      <c r="C160" s="79"/>
      <c r="D160" s="79"/>
      <c r="E160" s="79"/>
    </row>
    <row r="161">
      <c r="C161" s="79"/>
      <c r="D161" s="79"/>
      <c r="E161" s="79"/>
    </row>
    <row r="162">
      <c r="C162" s="79"/>
      <c r="D162" s="79"/>
      <c r="E162" s="79"/>
    </row>
    <row r="163">
      <c r="C163" s="79"/>
      <c r="D163" s="79"/>
      <c r="E163" s="79"/>
    </row>
    <row r="164">
      <c r="C164" s="79"/>
      <c r="D164" s="79"/>
      <c r="E164" s="79"/>
    </row>
    <row r="165">
      <c r="C165" s="79"/>
      <c r="D165" s="79"/>
      <c r="E165" s="79"/>
    </row>
    <row r="166">
      <c r="C166" s="79"/>
      <c r="D166" s="79"/>
      <c r="E166" s="79"/>
    </row>
    <row r="167">
      <c r="C167" s="79"/>
      <c r="D167" s="79"/>
      <c r="E167" s="79"/>
    </row>
    <row r="168">
      <c r="C168" s="79"/>
      <c r="D168" s="79"/>
      <c r="E168" s="79"/>
    </row>
    <row r="169">
      <c r="C169" s="79"/>
      <c r="D169" s="79"/>
      <c r="E169" s="79"/>
    </row>
    <row r="170">
      <c r="C170" s="79"/>
      <c r="D170" s="79"/>
      <c r="E170" s="79"/>
    </row>
    <row r="171">
      <c r="C171" s="79"/>
      <c r="D171" s="79"/>
      <c r="E171" s="79"/>
    </row>
    <row r="172">
      <c r="C172" s="79"/>
      <c r="D172" s="79"/>
      <c r="E172" s="79"/>
    </row>
    <row r="173">
      <c r="C173" s="79"/>
      <c r="D173" s="79"/>
      <c r="E173" s="79"/>
    </row>
    <row r="174">
      <c r="C174" s="79"/>
      <c r="D174" s="79"/>
      <c r="E174" s="79"/>
    </row>
    <row r="175">
      <c r="C175" s="79"/>
      <c r="D175" s="79"/>
      <c r="E175" s="79"/>
    </row>
    <row r="176">
      <c r="C176" s="79"/>
      <c r="D176" s="79"/>
      <c r="E176" s="79"/>
    </row>
    <row r="177">
      <c r="C177" s="79"/>
      <c r="D177" s="79"/>
      <c r="E177" s="79"/>
    </row>
    <row r="178">
      <c r="C178" s="79"/>
      <c r="D178" s="79"/>
      <c r="E178" s="79"/>
    </row>
    <row r="179">
      <c r="C179" s="79"/>
      <c r="D179" s="79"/>
      <c r="E179" s="79"/>
    </row>
    <row r="180">
      <c r="C180" s="79"/>
      <c r="D180" s="79"/>
      <c r="E180" s="79"/>
    </row>
    <row r="181">
      <c r="C181" s="79"/>
      <c r="D181" s="79"/>
      <c r="E181" s="79"/>
    </row>
    <row r="182">
      <c r="C182" s="79"/>
      <c r="D182" s="79"/>
      <c r="E182" s="79"/>
    </row>
    <row r="183">
      <c r="C183" s="79"/>
      <c r="D183" s="79"/>
      <c r="E183" s="79"/>
    </row>
    <row r="184">
      <c r="C184" s="79"/>
      <c r="D184" s="79"/>
      <c r="E184" s="79"/>
    </row>
    <row r="185">
      <c r="C185" s="79"/>
      <c r="D185" s="79"/>
      <c r="E185" s="79"/>
    </row>
    <row r="186">
      <c r="C186" s="79"/>
      <c r="D186" s="79"/>
      <c r="E186" s="79"/>
    </row>
    <row r="187">
      <c r="C187" s="79"/>
      <c r="D187" s="79"/>
      <c r="E187" s="79"/>
    </row>
    <row r="188">
      <c r="C188" s="79"/>
      <c r="D188" s="79"/>
      <c r="E188" s="79"/>
    </row>
    <row r="189">
      <c r="C189" s="79"/>
      <c r="D189" s="79"/>
      <c r="E189" s="79"/>
    </row>
    <row r="190">
      <c r="C190" s="79"/>
      <c r="D190" s="79"/>
      <c r="E190" s="79"/>
    </row>
    <row r="191">
      <c r="C191" s="79"/>
      <c r="D191" s="79"/>
      <c r="E191" s="79"/>
    </row>
    <row r="192">
      <c r="C192" s="79"/>
      <c r="D192" s="79"/>
      <c r="E192" s="79"/>
    </row>
    <row r="193">
      <c r="C193" s="79"/>
      <c r="D193" s="79"/>
      <c r="E193" s="79"/>
    </row>
    <row r="194">
      <c r="C194" s="79"/>
      <c r="D194" s="79"/>
      <c r="E194" s="79"/>
    </row>
    <row r="195">
      <c r="C195" s="79"/>
      <c r="D195" s="79"/>
      <c r="E195" s="79"/>
    </row>
    <row r="196">
      <c r="C196" s="79"/>
      <c r="D196" s="79"/>
      <c r="E196" s="79"/>
    </row>
    <row r="197">
      <c r="C197" s="79"/>
      <c r="D197" s="79"/>
      <c r="E197" s="79"/>
    </row>
    <row r="198">
      <c r="C198" s="79"/>
      <c r="D198" s="79"/>
      <c r="E198" s="79"/>
    </row>
    <row r="199">
      <c r="C199" s="79"/>
      <c r="D199" s="79"/>
      <c r="E199" s="79"/>
    </row>
    <row r="200">
      <c r="C200" s="79"/>
      <c r="D200" s="79"/>
      <c r="E200" s="79"/>
    </row>
    <row r="201">
      <c r="C201" s="79"/>
      <c r="D201" s="79"/>
      <c r="E201" s="79"/>
    </row>
    <row r="202">
      <c r="C202" s="79"/>
      <c r="D202" s="79"/>
      <c r="E202" s="79"/>
    </row>
    <row r="203">
      <c r="C203" s="79"/>
      <c r="D203" s="79"/>
      <c r="E203" s="79"/>
    </row>
    <row r="204">
      <c r="C204" s="79"/>
      <c r="D204" s="79"/>
      <c r="E204" s="79"/>
    </row>
    <row r="205">
      <c r="C205" s="79"/>
      <c r="D205" s="79"/>
      <c r="E205" s="79"/>
    </row>
    <row r="206">
      <c r="C206" s="79"/>
      <c r="D206" s="79"/>
      <c r="E206" s="79"/>
    </row>
    <row r="207">
      <c r="C207" s="79"/>
      <c r="D207" s="79"/>
      <c r="E207" s="79"/>
    </row>
    <row r="208">
      <c r="C208" s="79"/>
      <c r="D208" s="79"/>
      <c r="E208" s="79"/>
    </row>
    <row r="209">
      <c r="C209" s="79"/>
      <c r="D209" s="79"/>
      <c r="E209" s="79"/>
    </row>
    <row r="210">
      <c r="C210" s="79"/>
      <c r="D210" s="79"/>
      <c r="E210" s="79"/>
    </row>
    <row r="211">
      <c r="C211" s="79"/>
      <c r="D211" s="79"/>
      <c r="E211" s="79"/>
    </row>
    <row r="212">
      <c r="C212" s="79"/>
      <c r="D212" s="79"/>
      <c r="E212" s="79"/>
    </row>
    <row r="213">
      <c r="C213" s="79"/>
      <c r="D213" s="79"/>
      <c r="E213" s="79"/>
    </row>
    <row r="214">
      <c r="C214" s="79"/>
      <c r="D214" s="79"/>
      <c r="E214" s="79"/>
    </row>
    <row r="215">
      <c r="C215" s="79"/>
      <c r="D215" s="79"/>
      <c r="E215" s="79"/>
    </row>
    <row r="216">
      <c r="C216" s="79"/>
      <c r="D216" s="79"/>
      <c r="E216" s="79"/>
    </row>
    <row r="217">
      <c r="C217" s="79"/>
      <c r="D217" s="79"/>
      <c r="E217" s="79"/>
    </row>
    <row r="218">
      <c r="C218" s="79"/>
      <c r="D218" s="79"/>
      <c r="E218" s="79"/>
    </row>
    <row r="219">
      <c r="C219" s="79"/>
      <c r="D219" s="79"/>
      <c r="E219" s="79"/>
    </row>
    <row r="220">
      <c r="C220" s="79"/>
      <c r="D220" s="79"/>
      <c r="E220" s="79"/>
    </row>
    <row r="221">
      <c r="C221" s="79"/>
      <c r="D221" s="79"/>
      <c r="E221" s="79"/>
    </row>
    <row r="222">
      <c r="C222" s="79"/>
      <c r="D222" s="79"/>
      <c r="E222" s="79"/>
    </row>
    <row r="223">
      <c r="C223" s="79"/>
      <c r="D223" s="79"/>
      <c r="E223" s="79"/>
    </row>
    <row r="224">
      <c r="C224" s="79"/>
      <c r="D224" s="79"/>
      <c r="E224" s="79"/>
    </row>
    <row r="225">
      <c r="C225" s="79"/>
      <c r="D225" s="79"/>
      <c r="E225" s="79"/>
    </row>
    <row r="226">
      <c r="C226" s="79"/>
      <c r="D226" s="79"/>
      <c r="E226" s="79"/>
    </row>
    <row r="227">
      <c r="C227" s="79"/>
      <c r="D227" s="79"/>
      <c r="E227" s="79"/>
    </row>
    <row r="228">
      <c r="C228" s="79"/>
      <c r="D228" s="79"/>
      <c r="E228" s="79"/>
    </row>
    <row r="229">
      <c r="C229" s="79"/>
      <c r="D229" s="79"/>
      <c r="E229" s="79"/>
    </row>
    <row r="230">
      <c r="C230" s="79"/>
      <c r="D230" s="79"/>
      <c r="E230" s="79"/>
    </row>
    <row r="231">
      <c r="C231" s="79"/>
      <c r="D231" s="79"/>
      <c r="E231" s="79"/>
    </row>
    <row r="232">
      <c r="C232" s="79"/>
      <c r="D232" s="79"/>
      <c r="E232" s="79"/>
    </row>
    <row r="233">
      <c r="C233" s="79"/>
      <c r="D233" s="79"/>
      <c r="E233" s="79"/>
    </row>
    <row r="234">
      <c r="C234" s="79"/>
      <c r="D234" s="79"/>
      <c r="E234" s="79"/>
    </row>
    <row r="235">
      <c r="C235" s="79"/>
      <c r="D235" s="79"/>
      <c r="E235" s="79"/>
    </row>
    <row r="236">
      <c r="C236" s="79"/>
      <c r="D236" s="79"/>
      <c r="E236" s="79"/>
    </row>
    <row r="237">
      <c r="C237" s="79"/>
      <c r="D237" s="79"/>
      <c r="E237" s="79"/>
    </row>
    <row r="238">
      <c r="C238" s="79"/>
      <c r="D238" s="79"/>
      <c r="E238" s="79"/>
    </row>
    <row r="239">
      <c r="C239" s="79"/>
      <c r="D239" s="79"/>
      <c r="E239" s="79"/>
    </row>
    <row r="240">
      <c r="C240" s="79"/>
      <c r="D240" s="79"/>
      <c r="E240" s="79"/>
    </row>
    <row r="241">
      <c r="C241" s="79"/>
      <c r="D241" s="79"/>
      <c r="E241" s="79"/>
    </row>
    <row r="242">
      <c r="C242" s="79"/>
      <c r="D242" s="79"/>
      <c r="E242" s="79"/>
    </row>
    <row r="243">
      <c r="C243" s="79"/>
      <c r="D243" s="79"/>
      <c r="E243" s="79"/>
    </row>
    <row r="244">
      <c r="C244" s="79"/>
      <c r="D244" s="79"/>
      <c r="E244" s="79"/>
    </row>
    <row r="245">
      <c r="C245" s="79"/>
      <c r="D245" s="79"/>
      <c r="E245" s="79"/>
    </row>
    <row r="246">
      <c r="C246" s="79"/>
      <c r="D246" s="79"/>
      <c r="E246" s="79"/>
    </row>
    <row r="247">
      <c r="C247" s="79"/>
      <c r="D247" s="79"/>
      <c r="E247" s="79"/>
    </row>
    <row r="248">
      <c r="C248" s="79"/>
      <c r="D248" s="79"/>
      <c r="E248" s="79"/>
    </row>
    <row r="249">
      <c r="C249" s="79"/>
      <c r="D249" s="79"/>
      <c r="E249" s="79"/>
    </row>
    <row r="250">
      <c r="C250" s="79"/>
      <c r="D250" s="79"/>
      <c r="E250" s="79"/>
    </row>
    <row r="251">
      <c r="C251" s="79"/>
      <c r="D251" s="79"/>
      <c r="E251" s="79"/>
    </row>
    <row r="252">
      <c r="C252" s="79"/>
      <c r="D252" s="79"/>
      <c r="E252" s="79"/>
    </row>
    <row r="253">
      <c r="C253" s="79"/>
      <c r="D253" s="79"/>
      <c r="E253" s="79"/>
    </row>
    <row r="254">
      <c r="C254" s="79"/>
      <c r="D254" s="79"/>
      <c r="E254" s="79"/>
    </row>
    <row r="255">
      <c r="C255" s="79"/>
      <c r="D255" s="79"/>
      <c r="E255" s="79"/>
    </row>
    <row r="256">
      <c r="C256" s="79"/>
      <c r="D256" s="79"/>
      <c r="E256" s="79"/>
    </row>
    <row r="257">
      <c r="C257" s="79"/>
      <c r="D257" s="79"/>
      <c r="E257" s="79"/>
    </row>
    <row r="258">
      <c r="C258" s="79"/>
      <c r="D258" s="79"/>
      <c r="E258" s="79"/>
    </row>
    <row r="259">
      <c r="C259" s="79"/>
      <c r="D259" s="79"/>
      <c r="E259" s="79"/>
    </row>
    <row r="260">
      <c r="C260" s="79"/>
      <c r="D260" s="79"/>
      <c r="E260" s="79"/>
    </row>
    <row r="261">
      <c r="C261" s="79"/>
      <c r="D261" s="79"/>
      <c r="E261" s="79"/>
    </row>
    <row r="262">
      <c r="C262" s="79"/>
      <c r="D262" s="79"/>
      <c r="E262" s="79"/>
    </row>
    <row r="263">
      <c r="C263" s="79"/>
      <c r="D263" s="79"/>
      <c r="E263" s="79"/>
    </row>
    <row r="264">
      <c r="C264" s="79"/>
      <c r="D264" s="79"/>
      <c r="E264" s="79"/>
    </row>
    <row r="265">
      <c r="C265" s="79"/>
      <c r="D265" s="79"/>
      <c r="E265" s="79"/>
    </row>
    <row r="266">
      <c r="C266" s="79"/>
      <c r="D266" s="79"/>
      <c r="E266" s="79"/>
    </row>
    <row r="267">
      <c r="C267" s="79"/>
      <c r="D267" s="79"/>
      <c r="E267" s="79"/>
    </row>
    <row r="268">
      <c r="C268" s="79"/>
      <c r="D268" s="79"/>
      <c r="E268" s="79"/>
    </row>
    <row r="269">
      <c r="C269" s="79"/>
      <c r="D269" s="79"/>
      <c r="E269" s="79"/>
    </row>
    <row r="270">
      <c r="C270" s="79"/>
      <c r="D270" s="79"/>
      <c r="E270" s="79"/>
    </row>
    <row r="271">
      <c r="C271" s="79"/>
      <c r="D271" s="79"/>
      <c r="E271" s="79"/>
    </row>
    <row r="272">
      <c r="C272" s="79"/>
      <c r="D272" s="79"/>
      <c r="E272" s="79"/>
    </row>
    <row r="273">
      <c r="C273" s="79"/>
      <c r="D273" s="79"/>
      <c r="E273" s="79"/>
    </row>
    <row r="274">
      <c r="C274" s="79"/>
      <c r="D274" s="79"/>
      <c r="E274" s="79"/>
    </row>
    <row r="275">
      <c r="C275" s="79"/>
      <c r="D275" s="79"/>
      <c r="E275" s="79"/>
    </row>
    <row r="276">
      <c r="C276" s="79"/>
      <c r="D276" s="79"/>
      <c r="E276" s="79"/>
    </row>
    <row r="277">
      <c r="C277" s="79"/>
      <c r="D277" s="79"/>
      <c r="E277" s="79"/>
    </row>
    <row r="278">
      <c r="C278" s="79"/>
      <c r="D278" s="79"/>
      <c r="E278" s="79"/>
    </row>
    <row r="279">
      <c r="C279" s="79"/>
      <c r="D279" s="79"/>
      <c r="E279" s="79"/>
    </row>
    <row r="280">
      <c r="C280" s="79"/>
      <c r="D280" s="79"/>
      <c r="E280" s="79"/>
    </row>
    <row r="281">
      <c r="C281" s="79"/>
      <c r="D281" s="79"/>
      <c r="E281" s="79"/>
    </row>
    <row r="282">
      <c r="C282" s="79"/>
      <c r="D282" s="79"/>
      <c r="E282" s="79"/>
    </row>
    <row r="283">
      <c r="C283" s="79"/>
      <c r="D283" s="79"/>
      <c r="E283" s="79"/>
    </row>
    <row r="284">
      <c r="C284" s="79"/>
      <c r="D284" s="79"/>
      <c r="E284" s="79"/>
    </row>
    <row r="285">
      <c r="C285" s="79"/>
      <c r="D285" s="79"/>
      <c r="E285" s="79"/>
    </row>
    <row r="286">
      <c r="C286" s="79"/>
      <c r="D286" s="79"/>
      <c r="E286" s="79"/>
    </row>
    <row r="287">
      <c r="C287" s="79"/>
      <c r="D287" s="79"/>
      <c r="E287" s="79"/>
    </row>
    <row r="288">
      <c r="C288" s="79"/>
      <c r="D288" s="79"/>
      <c r="E288" s="79"/>
    </row>
    <row r="289">
      <c r="C289" s="79"/>
      <c r="D289" s="79"/>
      <c r="E289" s="79"/>
    </row>
    <row r="290">
      <c r="C290" s="79"/>
      <c r="D290" s="79"/>
      <c r="E290" s="79"/>
    </row>
    <row r="291">
      <c r="C291" s="79"/>
      <c r="D291" s="79"/>
      <c r="E291" s="79"/>
    </row>
    <row r="292">
      <c r="C292" s="79"/>
      <c r="D292" s="79"/>
      <c r="E292" s="79"/>
    </row>
    <row r="293">
      <c r="C293" s="79"/>
      <c r="D293" s="79"/>
      <c r="E293" s="79"/>
    </row>
    <row r="294">
      <c r="C294" s="79"/>
      <c r="D294" s="79"/>
      <c r="E294" s="79"/>
    </row>
    <row r="295">
      <c r="C295" s="79"/>
      <c r="D295" s="79"/>
      <c r="E295" s="79"/>
    </row>
    <row r="296">
      <c r="C296" s="79"/>
      <c r="D296" s="79"/>
      <c r="E296" s="79"/>
    </row>
    <row r="297">
      <c r="C297" s="79"/>
      <c r="D297" s="79"/>
      <c r="E297" s="79"/>
    </row>
    <row r="298">
      <c r="C298" s="79"/>
      <c r="D298" s="79"/>
      <c r="E298" s="79"/>
    </row>
    <row r="299">
      <c r="C299" s="79"/>
      <c r="D299" s="79"/>
      <c r="E299" s="79"/>
    </row>
    <row r="300">
      <c r="C300" s="79"/>
      <c r="D300" s="79"/>
      <c r="E300" s="79"/>
    </row>
    <row r="301">
      <c r="C301" s="79"/>
      <c r="D301" s="79"/>
      <c r="E301" s="79"/>
    </row>
    <row r="302">
      <c r="C302" s="79"/>
      <c r="D302" s="79"/>
      <c r="E302" s="79"/>
    </row>
    <row r="303">
      <c r="C303" s="79"/>
      <c r="D303" s="79"/>
      <c r="E303" s="79"/>
    </row>
    <row r="304">
      <c r="C304" s="79"/>
      <c r="D304" s="79"/>
      <c r="E304" s="79"/>
    </row>
    <row r="305">
      <c r="C305" s="79"/>
      <c r="D305" s="79"/>
      <c r="E305" s="79"/>
    </row>
    <row r="306">
      <c r="C306" s="79"/>
      <c r="D306" s="79"/>
      <c r="E306" s="79"/>
    </row>
    <row r="307">
      <c r="C307" s="79"/>
      <c r="D307" s="79"/>
      <c r="E307" s="79"/>
    </row>
    <row r="308">
      <c r="C308" s="79"/>
      <c r="D308" s="79"/>
      <c r="E308" s="79"/>
    </row>
    <row r="309">
      <c r="C309" s="79"/>
      <c r="D309" s="79"/>
      <c r="E309" s="79"/>
    </row>
    <row r="310">
      <c r="C310" s="79"/>
      <c r="D310" s="79"/>
      <c r="E310" s="79"/>
    </row>
    <row r="311">
      <c r="C311" s="79"/>
      <c r="D311" s="79"/>
      <c r="E311" s="79"/>
    </row>
    <row r="312">
      <c r="C312" s="79"/>
      <c r="D312" s="79"/>
      <c r="E312" s="79"/>
    </row>
    <row r="313">
      <c r="C313" s="79"/>
      <c r="D313" s="79"/>
      <c r="E313" s="79"/>
    </row>
    <row r="314">
      <c r="C314" s="79"/>
      <c r="D314" s="79"/>
      <c r="E314" s="79"/>
    </row>
    <row r="315">
      <c r="C315" s="79"/>
      <c r="D315" s="79"/>
      <c r="E315" s="79"/>
    </row>
    <row r="316">
      <c r="C316" s="79"/>
      <c r="D316" s="79"/>
      <c r="E316" s="79"/>
    </row>
    <row r="317">
      <c r="C317" s="79"/>
      <c r="D317" s="79"/>
      <c r="E317" s="79"/>
    </row>
    <row r="318">
      <c r="C318" s="79"/>
      <c r="D318" s="79"/>
      <c r="E318" s="79"/>
    </row>
    <row r="319">
      <c r="C319" s="79"/>
      <c r="D319" s="79"/>
      <c r="E319" s="79"/>
    </row>
    <row r="320">
      <c r="C320" s="79"/>
      <c r="D320" s="79"/>
      <c r="E320" s="79"/>
    </row>
    <row r="321">
      <c r="C321" s="79"/>
      <c r="D321" s="79"/>
      <c r="E321" s="79"/>
    </row>
    <row r="322">
      <c r="C322" s="79"/>
      <c r="D322" s="79"/>
      <c r="E322" s="79"/>
    </row>
    <row r="323">
      <c r="C323" s="79"/>
      <c r="D323" s="79"/>
      <c r="E323" s="79"/>
    </row>
    <row r="324">
      <c r="C324" s="79"/>
      <c r="D324" s="79"/>
      <c r="E324" s="79"/>
    </row>
    <row r="325">
      <c r="C325" s="79"/>
      <c r="D325" s="79"/>
      <c r="E325" s="79"/>
    </row>
    <row r="326">
      <c r="C326" s="79"/>
      <c r="D326" s="79"/>
      <c r="E326" s="79"/>
    </row>
    <row r="327">
      <c r="C327" s="79"/>
      <c r="D327" s="79"/>
      <c r="E327" s="79"/>
    </row>
    <row r="328">
      <c r="C328" s="79"/>
      <c r="D328" s="79"/>
      <c r="E328" s="79"/>
    </row>
    <row r="329">
      <c r="C329" s="79"/>
      <c r="D329" s="79"/>
      <c r="E329" s="79"/>
    </row>
    <row r="330">
      <c r="C330" s="79"/>
      <c r="D330" s="79"/>
      <c r="E330" s="79"/>
    </row>
    <row r="331">
      <c r="C331" s="79"/>
      <c r="D331" s="79"/>
      <c r="E331" s="79"/>
    </row>
    <row r="332">
      <c r="C332" s="79"/>
      <c r="D332" s="79"/>
      <c r="E332" s="79"/>
    </row>
    <row r="333">
      <c r="C333" s="79"/>
      <c r="D333" s="79"/>
      <c r="E333" s="79"/>
    </row>
    <row r="334">
      <c r="C334" s="79"/>
      <c r="D334" s="79"/>
      <c r="E334" s="79"/>
    </row>
    <row r="335">
      <c r="C335" s="79"/>
      <c r="D335" s="79"/>
      <c r="E335" s="79"/>
    </row>
    <row r="336">
      <c r="C336" s="79"/>
      <c r="D336" s="79"/>
      <c r="E336" s="79"/>
    </row>
    <row r="337">
      <c r="C337" s="79"/>
      <c r="D337" s="79"/>
      <c r="E337" s="79"/>
    </row>
    <row r="338">
      <c r="C338" s="79"/>
      <c r="D338" s="79"/>
      <c r="E338" s="79"/>
    </row>
    <row r="339">
      <c r="C339" s="79"/>
      <c r="D339" s="79"/>
      <c r="E339" s="79"/>
    </row>
    <row r="340">
      <c r="C340" s="79"/>
      <c r="D340" s="79"/>
      <c r="E340" s="79"/>
    </row>
    <row r="341">
      <c r="C341" s="79"/>
      <c r="D341" s="79"/>
      <c r="E341" s="79"/>
    </row>
    <row r="342">
      <c r="C342" s="79"/>
      <c r="D342" s="79"/>
      <c r="E342" s="79"/>
    </row>
    <row r="343">
      <c r="C343" s="79"/>
      <c r="D343" s="79"/>
      <c r="E343" s="79"/>
    </row>
    <row r="344">
      <c r="C344" s="79"/>
      <c r="D344" s="79"/>
      <c r="E344" s="79"/>
    </row>
    <row r="345">
      <c r="C345" s="79"/>
      <c r="D345" s="79"/>
      <c r="E345" s="79"/>
    </row>
    <row r="346">
      <c r="C346" s="79"/>
      <c r="D346" s="79"/>
      <c r="E346" s="79"/>
    </row>
    <row r="347">
      <c r="C347" s="79"/>
      <c r="D347" s="79"/>
      <c r="E347" s="79"/>
    </row>
    <row r="348">
      <c r="C348" s="79"/>
      <c r="D348" s="79"/>
      <c r="E348" s="79"/>
    </row>
    <row r="349">
      <c r="C349" s="79"/>
      <c r="D349" s="79"/>
      <c r="E349" s="79"/>
    </row>
    <row r="350">
      <c r="C350" s="79"/>
      <c r="D350" s="79"/>
      <c r="E350" s="79"/>
    </row>
    <row r="351">
      <c r="C351" s="79"/>
      <c r="D351" s="79"/>
      <c r="E351" s="79"/>
    </row>
    <row r="352">
      <c r="C352" s="79"/>
      <c r="D352" s="79"/>
      <c r="E352" s="79"/>
    </row>
    <row r="353">
      <c r="C353" s="79"/>
      <c r="D353" s="79"/>
      <c r="E353" s="79"/>
    </row>
    <row r="354">
      <c r="C354" s="79"/>
      <c r="D354" s="79"/>
      <c r="E354" s="79"/>
    </row>
    <row r="355">
      <c r="C355" s="79"/>
      <c r="D355" s="79"/>
      <c r="E355" s="79"/>
    </row>
    <row r="356">
      <c r="C356" s="79"/>
      <c r="D356" s="79"/>
      <c r="E356" s="79"/>
    </row>
    <row r="357">
      <c r="C357" s="79"/>
      <c r="D357" s="79"/>
      <c r="E357" s="79"/>
    </row>
    <row r="358">
      <c r="C358" s="79"/>
      <c r="D358" s="79"/>
      <c r="E358" s="79"/>
    </row>
    <row r="359">
      <c r="C359" s="79"/>
      <c r="D359" s="79"/>
      <c r="E359" s="79"/>
    </row>
    <row r="360">
      <c r="C360" s="79"/>
      <c r="D360" s="79"/>
      <c r="E360" s="79"/>
    </row>
    <row r="361">
      <c r="C361" s="79"/>
      <c r="D361" s="79"/>
      <c r="E361" s="79"/>
    </row>
    <row r="362">
      <c r="C362" s="79"/>
      <c r="D362" s="79"/>
      <c r="E362" s="79"/>
    </row>
    <row r="363">
      <c r="C363" s="79"/>
      <c r="D363" s="79"/>
      <c r="E363" s="79"/>
    </row>
    <row r="364">
      <c r="C364" s="79"/>
      <c r="D364" s="79"/>
      <c r="E364" s="79"/>
    </row>
    <row r="365">
      <c r="C365" s="79"/>
      <c r="D365" s="79"/>
      <c r="E365" s="79"/>
    </row>
    <row r="366">
      <c r="C366" s="79"/>
      <c r="D366" s="79"/>
      <c r="E366" s="79"/>
    </row>
    <row r="367">
      <c r="C367" s="79"/>
      <c r="D367" s="79"/>
      <c r="E367" s="79"/>
    </row>
    <row r="368">
      <c r="C368" s="79"/>
      <c r="D368" s="79"/>
      <c r="E368" s="79"/>
    </row>
    <row r="369">
      <c r="C369" s="79"/>
      <c r="D369" s="79"/>
      <c r="E369" s="79"/>
    </row>
    <row r="370">
      <c r="C370" s="79"/>
      <c r="D370" s="79"/>
      <c r="E370" s="79"/>
    </row>
    <row r="371">
      <c r="C371" s="79"/>
      <c r="D371" s="79"/>
      <c r="E371" s="79"/>
    </row>
    <row r="372">
      <c r="C372" s="79"/>
      <c r="D372" s="79"/>
      <c r="E372" s="79"/>
    </row>
    <row r="373">
      <c r="C373" s="79"/>
      <c r="D373" s="79"/>
      <c r="E373" s="79"/>
    </row>
    <row r="374">
      <c r="C374" s="79"/>
      <c r="D374" s="79"/>
      <c r="E374" s="79"/>
    </row>
    <row r="375">
      <c r="C375" s="79"/>
      <c r="D375" s="79"/>
      <c r="E375" s="79"/>
    </row>
    <row r="376">
      <c r="C376" s="79"/>
      <c r="D376" s="79"/>
      <c r="E376" s="79"/>
    </row>
    <row r="377">
      <c r="C377" s="79"/>
      <c r="D377" s="79"/>
      <c r="E377" s="79"/>
    </row>
    <row r="378">
      <c r="C378" s="79"/>
      <c r="D378" s="79"/>
      <c r="E378" s="79"/>
    </row>
    <row r="379">
      <c r="C379" s="79"/>
      <c r="D379" s="79"/>
      <c r="E379" s="79"/>
    </row>
    <row r="380">
      <c r="C380" s="79"/>
      <c r="D380" s="79"/>
      <c r="E380" s="79"/>
    </row>
    <row r="381">
      <c r="C381" s="79"/>
      <c r="D381" s="79"/>
      <c r="E381" s="79"/>
    </row>
    <row r="382">
      <c r="C382" s="79"/>
      <c r="D382" s="79"/>
      <c r="E382" s="79"/>
    </row>
    <row r="383">
      <c r="C383" s="79"/>
      <c r="D383" s="79"/>
      <c r="E383" s="79"/>
    </row>
    <row r="384">
      <c r="C384" s="79"/>
      <c r="D384" s="79"/>
      <c r="E384" s="79"/>
    </row>
    <row r="385">
      <c r="C385" s="79"/>
      <c r="D385" s="79"/>
      <c r="E385" s="79"/>
    </row>
    <row r="386">
      <c r="C386" s="79"/>
      <c r="D386" s="79"/>
      <c r="E386" s="79"/>
    </row>
    <row r="387">
      <c r="C387" s="79"/>
      <c r="D387" s="79"/>
      <c r="E387" s="79"/>
    </row>
    <row r="388">
      <c r="C388" s="79"/>
      <c r="D388" s="79"/>
      <c r="E388" s="79"/>
    </row>
    <row r="389">
      <c r="C389" s="79"/>
      <c r="D389" s="79"/>
      <c r="E389" s="79"/>
    </row>
    <row r="390">
      <c r="C390" s="79"/>
      <c r="D390" s="79"/>
      <c r="E390" s="79"/>
    </row>
    <row r="391">
      <c r="C391" s="79"/>
      <c r="D391" s="79"/>
      <c r="E391" s="79"/>
    </row>
    <row r="392">
      <c r="C392" s="79"/>
      <c r="D392" s="79"/>
      <c r="E392" s="79"/>
    </row>
    <row r="393">
      <c r="C393" s="79"/>
      <c r="D393" s="79"/>
      <c r="E393" s="79"/>
    </row>
    <row r="394">
      <c r="C394" s="79"/>
      <c r="D394" s="79"/>
      <c r="E394" s="79"/>
    </row>
    <row r="395">
      <c r="C395" s="79"/>
      <c r="D395" s="79"/>
      <c r="E395" s="79"/>
    </row>
    <row r="396">
      <c r="C396" s="79"/>
      <c r="D396" s="79"/>
      <c r="E396" s="79"/>
    </row>
    <row r="397">
      <c r="C397" s="79"/>
      <c r="D397" s="79"/>
      <c r="E397" s="79"/>
    </row>
    <row r="398">
      <c r="C398" s="79"/>
      <c r="D398" s="79"/>
      <c r="E398" s="79"/>
    </row>
    <row r="399">
      <c r="C399" s="79"/>
      <c r="D399" s="79"/>
      <c r="E399" s="79"/>
    </row>
    <row r="400">
      <c r="C400" s="79"/>
      <c r="D400" s="79"/>
      <c r="E400" s="79"/>
    </row>
    <row r="401">
      <c r="C401" s="79"/>
      <c r="D401" s="79"/>
      <c r="E401" s="79"/>
    </row>
    <row r="402">
      <c r="C402" s="79"/>
      <c r="D402" s="79"/>
      <c r="E402" s="79"/>
    </row>
    <row r="403">
      <c r="C403" s="79"/>
      <c r="D403" s="79"/>
      <c r="E403" s="79"/>
    </row>
    <row r="404">
      <c r="C404" s="79"/>
      <c r="D404" s="79"/>
      <c r="E404" s="79"/>
    </row>
    <row r="405">
      <c r="C405" s="79"/>
      <c r="D405" s="79"/>
      <c r="E405" s="79"/>
    </row>
    <row r="406">
      <c r="C406" s="79"/>
      <c r="D406" s="79"/>
      <c r="E406" s="79"/>
    </row>
    <row r="407">
      <c r="C407" s="79"/>
      <c r="D407" s="79"/>
      <c r="E407" s="79"/>
    </row>
    <row r="408">
      <c r="C408" s="79"/>
      <c r="D408" s="79"/>
      <c r="E408" s="79"/>
    </row>
    <row r="409">
      <c r="C409" s="79"/>
      <c r="D409" s="79"/>
      <c r="E409" s="79"/>
    </row>
    <row r="410">
      <c r="C410" s="79"/>
      <c r="D410" s="79"/>
      <c r="E410" s="79"/>
    </row>
    <row r="411">
      <c r="C411" s="79"/>
      <c r="D411" s="79"/>
      <c r="E411" s="79"/>
    </row>
    <row r="412">
      <c r="C412" s="79"/>
      <c r="D412" s="79"/>
      <c r="E412" s="79"/>
    </row>
    <row r="413">
      <c r="C413" s="79"/>
      <c r="D413" s="79"/>
      <c r="E413" s="79"/>
    </row>
    <row r="414">
      <c r="C414" s="79"/>
      <c r="D414" s="79"/>
      <c r="E414" s="79"/>
    </row>
    <row r="415">
      <c r="C415" s="79"/>
      <c r="D415" s="79"/>
      <c r="E415" s="79"/>
    </row>
    <row r="416">
      <c r="C416" s="79"/>
      <c r="D416" s="79"/>
      <c r="E416" s="79"/>
    </row>
    <row r="417">
      <c r="C417" s="79"/>
      <c r="D417" s="79"/>
      <c r="E417" s="79"/>
    </row>
    <row r="418">
      <c r="C418" s="79"/>
      <c r="D418" s="79"/>
      <c r="E418" s="79"/>
    </row>
    <row r="419">
      <c r="C419" s="79"/>
      <c r="D419" s="79"/>
      <c r="E419" s="79"/>
    </row>
    <row r="420">
      <c r="C420" s="79"/>
      <c r="D420" s="79"/>
      <c r="E420" s="79"/>
    </row>
    <row r="421">
      <c r="C421" s="79"/>
      <c r="D421" s="79"/>
      <c r="E421" s="79"/>
    </row>
    <row r="422">
      <c r="C422" s="79"/>
      <c r="D422" s="79"/>
      <c r="E422" s="79"/>
    </row>
    <row r="423">
      <c r="C423" s="79"/>
      <c r="D423" s="79"/>
      <c r="E423" s="79"/>
    </row>
    <row r="424">
      <c r="C424" s="79"/>
      <c r="D424" s="79"/>
      <c r="E424" s="79"/>
    </row>
    <row r="425">
      <c r="C425" s="79"/>
      <c r="D425" s="79"/>
      <c r="E425" s="79"/>
    </row>
    <row r="426">
      <c r="C426" s="79"/>
      <c r="D426" s="79"/>
      <c r="E426" s="79"/>
    </row>
    <row r="427">
      <c r="C427" s="79"/>
      <c r="D427" s="79"/>
      <c r="E427" s="79"/>
    </row>
    <row r="428">
      <c r="C428" s="79"/>
      <c r="D428" s="79"/>
      <c r="E428" s="79"/>
    </row>
    <row r="429">
      <c r="C429" s="79"/>
      <c r="D429" s="79"/>
      <c r="E429" s="79"/>
    </row>
    <row r="430">
      <c r="C430" s="79"/>
      <c r="D430" s="79"/>
      <c r="E430" s="79"/>
    </row>
    <row r="431">
      <c r="C431" s="79"/>
      <c r="D431" s="79"/>
      <c r="E431" s="79"/>
    </row>
    <row r="432">
      <c r="C432" s="79"/>
      <c r="D432" s="79"/>
      <c r="E432" s="79"/>
    </row>
    <row r="433">
      <c r="C433" s="79"/>
      <c r="D433" s="79"/>
      <c r="E433" s="79"/>
    </row>
    <row r="434">
      <c r="C434" s="79"/>
      <c r="D434" s="79"/>
      <c r="E434" s="79"/>
    </row>
    <row r="435">
      <c r="C435" s="79"/>
      <c r="D435" s="79"/>
      <c r="E435" s="79"/>
    </row>
    <row r="436">
      <c r="C436" s="79"/>
      <c r="D436" s="79"/>
      <c r="E436" s="79"/>
    </row>
    <row r="437">
      <c r="C437" s="79"/>
      <c r="D437" s="79"/>
      <c r="E437" s="79"/>
    </row>
    <row r="438">
      <c r="C438" s="79"/>
      <c r="D438" s="79"/>
      <c r="E438" s="79"/>
    </row>
    <row r="439">
      <c r="C439" s="79"/>
      <c r="D439" s="79"/>
      <c r="E439" s="79"/>
    </row>
    <row r="440">
      <c r="C440" s="79"/>
      <c r="D440" s="79"/>
      <c r="E440" s="79"/>
    </row>
    <row r="441">
      <c r="C441" s="79"/>
      <c r="D441" s="79"/>
      <c r="E441" s="79"/>
    </row>
    <row r="442">
      <c r="C442" s="79"/>
      <c r="D442" s="79"/>
      <c r="E442" s="79"/>
    </row>
    <row r="443">
      <c r="C443" s="79"/>
      <c r="D443" s="79"/>
      <c r="E443" s="79"/>
    </row>
    <row r="444">
      <c r="C444" s="79"/>
      <c r="D444" s="79"/>
      <c r="E444" s="79"/>
    </row>
    <row r="445">
      <c r="C445" s="79"/>
      <c r="D445" s="79"/>
      <c r="E445" s="79"/>
    </row>
    <row r="446">
      <c r="C446" s="79"/>
      <c r="D446" s="79"/>
      <c r="E446" s="79"/>
    </row>
    <row r="447">
      <c r="C447" s="79"/>
      <c r="D447" s="79"/>
      <c r="E447" s="79"/>
    </row>
    <row r="448">
      <c r="C448" s="79"/>
      <c r="D448" s="79"/>
      <c r="E448" s="79"/>
    </row>
    <row r="449">
      <c r="C449" s="79"/>
      <c r="D449" s="79"/>
      <c r="E449" s="79"/>
    </row>
    <row r="450">
      <c r="C450" s="79"/>
      <c r="D450" s="79"/>
      <c r="E450" s="79"/>
    </row>
    <row r="451">
      <c r="C451" s="79"/>
      <c r="D451" s="79"/>
      <c r="E451" s="79"/>
    </row>
    <row r="452">
      <c r="C452" s="79"/>
      <c r="D452" s="79"/>
      <c r="E452" s="79"/>
    </row>
    <row r="453">
      <c r="C453" s="79"/>
      <c r="D453" s="79"/>
      <c r="E453" s="79"/>
    </row>
    <row r="454">
      <c r="C454" s="79"/>
      <c r="D454" s="79"/>
      <c r="E454" s="79"/>
    </row>
    <row r="455">
      <c r="C455" s="79"/>
      <c r="D455" s="79"/>
      <c r="E455" s="79"/>
    </row>
    <row r="456">
      <c r="C456" s="79"/>
      <c r="D456" s="79"/>
      <c r="E456" s="79"/>
    </row>
    <row r="457">
      <c r="C457" s="79"/>
      <c r="D457" s="79"/>
      <c r="E457" s="79"/>
    </row>
    <row r="458">
      <c r="C458" s="79"/>
      <c r="D458" s="79"/>
      <c r="E458" s="79"/>
    </row>
    <row r="459">
      <c r="C459" s="79"/>
      <c r="D459" s="79"/>
      <c r="E459" s="79"/>
    </row>
    <row r="460">
      <c r="C460" s="79"/>
      <c r="D460" s="79"/>
      <c r="E460" s="79"/>
    </row>
    <row r="461">
      <c r="C461" s="79"/>
      <c r="D461" s="79"/>
      <c r="E461" s="79"/>
    </row>
    <row r="462">
      <c r="C462" s="79"/>
      <c r="D462" s="79"/>
      <c r="E462" s="79"/>
    </row>
    <row r="463">
      <c r="C463" s="79"/>
      <c r="D463" s="79"/>
      <c r="E463" s="79"/>
    </row>
    <row r="464">
      <c r="C464" s="79"/>
      <c r="D464" s="79"/>
      <c r="E464" s="79"/>
    </row>
    <row r="465">
      <c r="C465" s="79"/>
      <c r="D465" s="79"/>
      <c r="E465" s="79"/>
    </row>
    <row r="466">
      <c r="C466" s="79"/>
      <c r="D466" s="79"/>
      <c r="E466" s="79"/>
    </row>
    <row r="467">
      <c r="C467" s="79"/>
      <c r="D467" s="79"/>
      <c r="E467" s="79"/>
    </row>
    <row r="468">
      <c r="C468" s="79"/>
      <c r="D468" s="79"/>
      <c r="E468" s="79"/>
    </row>
    <row r="469">
      <c r="C469" s="79"/>
      <c r="D469" s="79"/>
      <c r="E469" s="79"/>
    </row>
    <row r="470">
      <c r="C470" s="79"/>
      <c r="D470" s="79"/>
      <c r="E470" s="79"/>
    </row>
    <row r="471">
      <c r="C471" s="79"/>
      <c r="D471" s="79"/>
      <c r="E471" s="79"/>
    </row>
    <row r="472">
      <c r="C472" s="79"/>
      <c r="D472" s="79"/>
      <c r="E472" s="79"/>
    </row>
    <row r="473">
      <c r="C473" s="79"/>
      <c r="D473" s="79"/>
      <c r="E473" s="79"/>
    </row>
    <row r="474">
      <c r="C474" s="79"/>
      <c r="D474" s="79"/>
      <c r="E474" s="79"/>
    </row>
    <row r="475">
      <c r="C475" s="79"/>
      <c r="D475" s="79"/>
      <c r="E475" s="79"/>
    </row>
    <row r="476">
      <c r="C476" s="79"/>
      <c r="D476" s="79"/>
      <c r="E476" s="79"/>
    </row>
    <row r="477">
      <c r="C477" s="79"/>
      <c r="D477" s="79"/>
      <c r="E477" s="79"/>
    </row>
    <row r="478">
      <c r="C478" s="79"/>
      <c r="D478" s="79"/>
      <c r="E478" s="79"/>
    </row>
    <row r="479">
      <c r="C479" s="79"/>
      <c r="D479" s="79"/>
      <c r="E479" s="79"/>
    </row>
    <row r="480">
      <c r="C480" s="79"/>
      <c r="D480" s="79"/>
      <c r="E480" s="79"/>
    </row>
    <row r="481">
      <c r="C481" s="79"/>
      <c r="D481" s="79"/>
      <c r="E481" s="79"/>
    </row>
    <row r="482">
      <c r="C482" s="79"/>
      <c r="D482" s="79"/>
      <c r="E482" s="79"/>
    </row>
    <row r="483">
      <c r="C483" s="79"/>
      <c r="D483" s="79"/>
      <c r="E483" s="79"/>
    </row>
    <row r="484">
      <c r="C484" s="79"/>
      <c r="D484" s="79"/>
      <c r="E484" s="79"/>
    </row>
    <row r="485">
      <c r="C485" s="79"/>
      <c r="D485" s="79"/>
      <c r="E485" s="79"/>
    </row>
    <row r="486">
      <c r="C486" s="79"/>
      <c r="D486" s="79"/>
      <c r="E486" s="79"/>
    </row>
    <row r="487">
      <c r="C487" s="79"/>
      <c r="D487" s="79"/>
      <c r="E487" s="79"/>
    </row>
    <row r="488">
      <c r="C488" s="79"/>
      <c r="D488" s="79"/>
      <c r="E488" s="79"/>
    </row>
    <row r="489">
      <c r="C489" s="79"/>
      <c r="D489" s="79"/>
      <c r="E489" s="79"/>
    </row>
    <row r="490">
      <c r="C490" s="79"/>
      <c r="D490" s="79"/>
      <c r="E490" s="79"/>
    </row>
    <row r="491">
      <c r="C491" s="79"/>
      <c r="D491" s="79"/>
      <c r="E491" s="79"/>
    </row>
    <row r="492">
      <c r="C492" s="79"/>
      <c r="D492" s="79"/>
      <c r="E492" s="79"/>
    </row>
    <row r="493">
      <c r="C493" s="79"/>
      <c r="D493" s="79"/>
      <c r="E493" s="79"/>
    </row>
    <row r="494">
      <c r="C494" s="79"/>
      <c r="D494" s="79"/>
      <c r="E494" s="79"/>
    </row>
    <row r="495">
      <c r="C495" s="79"/>
      <c r="D495" s="79"/>
      <c r="E495" s="79"/>
    </row>
    <row r="496">
      <c r="C496" s="79"/>
      <c r="D496" s="79"/>
      <c r="E496" s="79"/>
    </row>
    <row r="497">
      <c r="C497" s="79"/>
      <c r="D497" s="79"/>
      <c r="E497" s="79"/>
    </row>
    <row r="498">
      <c r="C498" s="79"/>
      <c r="D498" s="79"/>
      <c r="E498" s="79"/>
    </row>
    <row r="499">
      <c r="C499" s="79"/>
      <c r="D499" s="79"/>
      <c r="E499" s="79"/>
    </row>
    <row r="500">
      <c r="C500" s="79"/>
      <c r="D500" s="79"/>
      <c r="E500" s="79"/>
    </row>
    <row r="501">
      <c r="C501" s="79"/>
      <c r="D501" s="79"/>
      <c r="E501" s="79"/>
    </row>
    <row r="502">
      <c r="C502" s="79"/>
      <c r="D502" s="79"/>
      <c r="E502" s="79"/>
    </row>
    <row r="503">
      <c r="C503" s="79"/>
      <c r="D503" s="79"/>
      <c r="E503" s="79"/>
    </row>
    <row r="504">
      <c r="C504" s="79"/>
      <c r="D504" s="79"/>
      <c r="E504" s="79"/>
    </row>
    <row r="505">
      <c r="C505" s="79"/>
      <c r="D505" s="79"/>
      <c r="E505" s="79"/>
    </row>
    <row r="506">
      <c r="C506" s="79"/>
      <c r="D506" s="79"/>
      <c r="E506" s="79"/>
    </row>
    <row r="507">
      <c r="C507" s="79"/>
      <c r="D507" s="79"/>
      <c r="E507" s="79"/>
    </row>
    <row r="508">
      <c r="C508" s="79"/>
      <c r="D508" s="79"/>
      <c r="E508" s="79"/>
    </row>
    <row r="509">
      <c r="C509" s="79"/>
      <c r="D509" s="79"/>
      <c r="E509" s="79"/>
    </row>
    <row r="510">
      <c r="C510" s="79"/>
      <c r="D510" s="79"/>
      <c r="E510" s="79"/>
    </row>
    <row r="511">
      <c r="C511" s="79"/>
      <c r="D511" s="79"/>
      <c r="E511" s="79"/>
    </row>
    <row r="512">
      <c r="C512" s="79"/>
      <c r="D512" s="79"/>
      <c r="E512" s="79"/>
    </row>
    <row r="513">
      <c r="C513" s="79"/>
      <c r="D513" s="79"/>
      <c r="E513" s="79"/>
    </row>
    <row r="514">
      <c r="C514" s="79"/>
      <c r="D514" s="79"/>
      <c r="E514" s="79"/>
    </row>
    <row r="515">
      <c r="C515" s="79"/>
      <c r="D515" s="79"/>
      <c r="E515" s="79"/>
    </row>
    <row r="516">
      <c r="C516" s="79"/>
      <c r="D516" s="79"/>
      <c r="E516" s="79"/>
    </row>
    <row r="517">
      <c r="C517" s="79"/>
      <c r="D517" s="79"/>
      <c r="E517" s="79"/>
    </row>
    <row r="518">
      <c r="C518" s="79"/>
      <c r="D518" s="79"/>
      <c r="E518" s="79"/>
    </row>
    <row r="519">
      <c r="C519" s="79"/>
      <c r="D519" s="79"/>
      <c r="E519" s="79"/>
    </row>
    <row r="520">
      <c r="C520" s="79"/>
      <c r="D520" s="79"/>
      <c r="E520" s="79"/>
    </row>
    <row r="521">
      <c r="C521" s="79"/>
      <c r="D521" s="79"/>
      <c r="E521" s="79"/>
    </row>
    <row r="522">
      <c r="C522" s="79"/>
      <c r="D522" s="79"/>
      <c r="E522" s="79"/>
    </row>
    <row r="523">
      <c r="C523" s="79"/>
      <c r="D523" s="79"/>
      <c r="E523" s="79"/>
    </row>
    <row r="524">
      <c r="C524" s="79"/>
      <c r="D524" s="79"/>
      <c r="E524" s="79"/>
    </row>
    <row r="525">
      <c r="C525" s="79"/>
      <c r="D525" s="79"/>
      <c r="E525" s="79"/>
    </row>
    <row r="526">
      <c r="C526" s="79"/>
      <c r="D526" s="79"/>
      <c r="E526" s="79"/>
    </row>
    <row r="527">
      <c r="C527" s="79"/>
      <c r="D527" s="79"/>
      <c r="E527" s="79"/>
    </row>
    <row r="528">
      <c r="C528" s="79"/>
      <c r="D528" s="79"/>
      <c r="E528" s="79"/>
    </row>
    <row r="529">
      <c r="C529" s="79"/>
      <c r="D529" s="79"/>
      <c r="E529" s="79"/>
    </row>
    <row r="530">
      <c r="C530" s="79"/>
      <c r="D530" s="79"/>
      <c r="E530" s="79"/>
    </row>
    <row r="531">
      <c r="C531" s="79"/>
      <c r="D531" s="79"/>
      <c r="E531" s="79"/>
    </row>
    <row r="532">
      <c r="C532" s="79"/>
      <c r="D532" s="79"/>
      <c r="E532" s="79"/>
    </row>
    <row r="533">
      <c r="C533" s="79"/>
      <c r="D533" s="79"/>
      <c r="E533" s="79"/>
    </row>
    <row r="534">
      <c r="C534" s="79"/>
      <c r="D534" s="79"/>
      <c r="E534" s="79"/>
    </row>
    <row r="535">
      <c r="C535" s="79"/>
      <c r="D535" s="79"/>
      <c r="E535" s="79"/>
    </row>
    <row r="536">
      <c r="C536" s="79"/>
      <c r="D536" s="79"/>
      <c r="E536" s="79"/>
    </row>
    <row r="537">
      <c r="C537" s="79"/>
      <c r="D537" s="79"/>
      <c r="E537" s="79"/>
    </row>
    <row r="538">
      <c r="C538" s="79"/>
      <c r="D538" s="79"/>
      <c r="E538" s="79"/>
    </row>
    <row r="539">
      <c r="C539" s="79"/>
      <c r="D539" s="79"/>
      <c r="E539" s="79"/>
    </row>
    <row r="540">
      <c r="C540" s="79"/>
      <c r="D540" s="79"/>
      <c r="E540" s="79"/>
    </row>
    <row r="541">
      <c r="C541" s="79"/>
      <c r="D541" s="79"/>
      <c r="E541" s="79"/>
    </row>
    <row r="542">
      <c r="C542" s="79"/>
      <c r="D542" s="79"/>
      <c r="E542" s="79"/>
    </row>
    <row r="543">
      <c r="C543" s="79"/>
      <c r="D543" s="79"/>
      <c r="E543" s="79"/>
    </row>
    <row r="544">
      <c r="C544" s="79"/>
      <c r="D544" s="79"/>
      <c r="E544" s="79"/>
    </row>
    <row r="545">
      <c r="C545" s="79"/>
      <c r="D545" s="79"/>
      <c r="E545" s="79"/>
    </row>
    <row r="546">
      <c r="C546" s="79"/>
      <c r="D546" s="79"/>
      <c r="E546" s="79"/>
    </row>
    <row r="547">
      <c r="C547" s="79"/>
      <c r="D547" s="79"/>
      <c r="E547" s="79"/>
    </row>
    <row r="548">
      <c r="C548" s="79"/>
      <c r="D548" s="79"/>
      <c r="E548" s="79"/>
    </row>
    <row r="549">
      <c r="C549" s="79"/>
      <c r="D549" s="79"/>
      <c r="E549" s="79"/>
    </row>
    <row r="550">
      <c r="C550" s="79"/>
      <c r="D550" s="79"/>
      <c r="E550" s="79"/>
    </row>
    <row r="551">
      <c r="C551" s="79"/>
      <c r="D551" s="79"/>
      <c r="E551" s="79"/>
    </row>
    <row r="552">
      <c r="C552" s="79"/>
      <c r="D552" s="79"/>
      <c r="E552" s="79"/>
    </row>
    <row r="553">
      <c r="C553" s="79"/>
      <c r="D553" s="79"/>
      <c r="E553" s="79"/>
    </row>
    <row r="554">
      <c r="C554" s="79"/>
      <c r="D554" s="79"/>
      <c r="E554" s="79"/>
    </row>
    <row r="555">
      <c r="C555" s="79"/>
      <c r="D555" s="79"/>
      <c r="E555" s="79"/>
    </row>
    <row r="556">
      <c r="C556" s="79"/>
      <c r="D556" s="79"/>
      <c r="E556" s="79"/>
    </row>
    <row r="557">
      <c r="C557" s="79"/>
      <c r="D557" s="79"/>
      <c r="E557" s="79"/>
    </row>
    <row r="558">
      <c r="C558" s="79"/>
      <c r="D558" s="79"/>
      <c r="E558" s="79"/>
    </row>
    <row r="559">
      <c r="C559" s="79"/>
      <c r="D559" s="79"/>
      <c r="E559" s="79"/>
    </row>
    <row r="560">
      <c r="C560" s="79"/>
      <c r="D560" s="79"/>
      <c r="E560" s="79"/>
    </row>
    <row r="561">
      <c r="C561" s="79"/>
      <c r="D561" s="79"/>
      <c r="E561" s="79"/>
    </row>
    <row r="562">
      <c r="C562" s="79"/>
      <c r="D562" s="79"/>
      <c r="E562" s="79"/>
    </row>
    <row r="563">
      <c r="C563" s="79"/>
      <c r="D563" s="79"/>
      <c r="E563" s="79"/>
    </row>
    <row r="564">
      <c r="C564" s="79"/>
      <c r="D564" s="79"/>
      <c r="E564" s="79"/>
    </row>
    <row r="565">
      <c r="C565" s="79"/>
      <c r="D565" s="79"/>
      <c r="E565" s="79"/>
    </row>
    <row r="566">
      <c r="C566" s="79"/>
      <c r="D566" s="79"/>
      <c r="E566" s="79"/>
    </row>
    <row r="567">
      <c r="C567" s="79"/>
      <c r="D567" s="79"/>
      <c r="E567" s="79"/>
    </row>
    <row r="568">
      <c r="C568" s="79"/>
      <c r="D568" s="79"/>
      <c r="E568" s="79"/>
    </row>
    <row r="569">
      <c r="C569" s="79"/>
      <c r="D569" s="79"/>
      <c r="E569" s="79"/>
    </row>
    <row r="570">
      <c r="C570" s="79"/>
      <c r="D570" s="79"/>
      <c r="E570" s="79"/>
    </row>
    <row r="571">
      <c r="C571" s="79"/>
      <c r="D571" s="79"/>
      <c r="E571" s="79"/>
    </row>
    <row r="572">
      <c r="C572" s="79"/>
      <c r="D572" s="79"/>
      <c r="E572" s="79"/>
    </row>
    <row r="573">
      <c r="C573" s="79"/>
      <c r="D573" s="79"/>
      <c r="E573" s="79"/>
    </row>
    <row r="574">
      <c r="C574" s="79"/>
      <c r="D574" s="79"/>
      <c r="E574" s="79"/>
    </row>
    <row r="575">
      <c r="C575" s="79"/>
      <c r="D575" s="79"/>
      <c r="E575" s="79"/>
    </row>
    <row r="576">
      <c r="C576" s="79"/>
      <c r="D576" s="79"/>
      <c r="E576" s="79"/>
    </row>
    <row r="577">
      <c r="C577" s="79"/>
      <c r="D577" s="79"/>
      <c r="E577" s="79"/>
    </row>
    <row r="578">
      <c r="C578" s="79"/>
      <c r="D578" s="79"/>
      <c r="E578" s="79"/>
    </row>
    <row r="579">
      <c r="C579" s="79"/>
      <c r="D579" s="79"/>
      <c r="E579" s="79"/>
    </row>
    <row r="580">
      <c r="C580" s="79"/>
      <c r="D580" s="79"/>
      <c r="E580" s="79"/>
    </row>
    <row r="581">
      <c r="C581" s="79"/>
      <c r="D581" s="79"/>
      <c r="E581" s="79"/>
    </row>
    <row r="582">
      <c r="C582" s="79"/>
      <c r="D582" s="79"/>
      <c r="E582" s="79"/>
    </row>
    <row r="583">
      <c r="C583" s="79"/>
      <c r="D583" s="79"/>
      <c r="E583" s="79"/>
    </row>
    <row r="584">
      <c r="C584" s="79"/>
      <c r="D584" s="79"/>
      <c r="E584" s="79"/>
    </row>
    <row r="585">
      <c r="C585" s="79"/>
      <c r="D585" s="79"/>
      <c r="E585" s="79"/>
    </row>
    <row r="586">
      <c r="C586" s="79"/>
      <c r="D586" s="79"/>
      <c r="E586" s="79"/>
    </row>
    <row r="587">
      <c r="C587" s="79"/>
      <c r="D587" s="79"/>
      <c r="E587" s="79"/>
    </row>
    <row r="588">
      <c r="C588" s="79"/>
      <c r="D588" s="79"/>
      <c r="E588" s="79"/>
    </row>
    <row r="589">
      <c r="C589" s="79"/>
      <c r="D589" s="79"/>
      <c r="E589" s="79"/>
    </row>
    <row r="590">
      <c r="C590" s="79"/>
      <c r="D590" s="79"/>
      <c r="E590" s="79"/>
    </row>
    <row r="591">
      <c r="C591" s="79"/>
      <c r="D591" s="79"/>
      <c r="E591" s="79"/>
    </row>
    <row r="592">
      <c r="C592" s="79"/>
      <c r="D592" s="79"/>
      <c r="E592" s="79"/>
    </row>
    <row r="593">
      <c r="C593" s="79"/>
      <c r="D593" s="79"/>
      <c r="E593" s="79"/>
    </row>
    <row r="594">
      <c r="C594" s="79"/>
      <c r="D594" s="79"/>
      <c r="E594" s="79"/>
    </row>
    <row r="595">
      <c r="C595" s="79"/>
      <c r="D595" s="79"/>
      <c r="E595" s="79"/>
    </row>
    <row r="596">
      <c r="C596" s="79"/>
      <c r="D596" s="79"/>
      <c r="E596" s="79"/>
    </row>
    <row r="597">
      <c r="C597" s="79"/>
      <c r="D597" s="79"/>
      <c r="E597" s="79"/>
    </row>
    <row r="598">
      <c r="C598" s="79"/>
      <c r="D598" s="79"/>
      <c r="E598" s="79"/>
    </row>
    <row r="599">
      <c r="C599" s="79"/>
      <c r="D599" s="79"/>
      <c r="E599" s="79"/>
    </row>
    <row r="600">
      <c r="C600" s="79"/>
      <c r="D600" s="79"/>
      <c r="E600" s="79"/>
    </row>
    <row r="601">
      <c r="C601" s="79"/>
      <c r="D601" s="79"/>
      <c r="E601" s="79"/>
    </row>
    <row r="602">
      <c r="C602" s="79"/>
      <c r="D602" s="79"/>
      <c r="E602" s="79"/>
    </row>
    <row r="603">
      <c r="C603" s="79"/>
      <c r="D603" s="79"/>
      <c r="E603" s="79"/>
    </row>
    <row r="604">
      <c r="C604" s="79"/>
      <c r="D604" s="79"/>
      <c r="E604" s="79"/>
    </row>
    <row r="605">
      <c r="C605" s="79"/>
      <c r="D605" s="79"/>
      <c r="E605" s="79"/>
    </row>
    <row r="606">
      <c r="C606" s="79"/>
      <c r="D606" s="79"/>
      <c r="E606" s="79"/>
    </row>
    <row r="607">
      <c r="C607" s="79"/>
      <c r="D607" s="79"/>
      <c r="E607" s="79"/>
    </row>
    <row r="608">
      <c r="C608" s="79"/>
      <c r="D608" s="79"/>
      <c r="E608" s="79"/>
    </row>
    <row r="609">
      <c r="C609" s="79"/>
      <c r="D609" s="79"/>
      <c r="E609" s="79"/>
    </row>
    <row r="610">
      <c r="C610" s="79"/>
      <c r="D610" s="79"/>
      <c r="E610" s="79"/>
    </row>
    <row r="611">
      <c r="C611" s="79"/>
      <c r="D611" s="79"/>
      <c r="E611" s="79"/>
    </row>
    <row r="612">
      <c r="C612" s="79"/>
      <c r="D612" s="79"/>
      <c r="E612" s="79"/>
    </row>
    <row r="613">
      <c r="C613" s="79"/>
      <c r="D613" s="79"/>
      <c r="E613" s="79"/>
    </row>
    <row r="614">
      <c r="C614" s="79"/>
      <c r="D614" s="79"/>
      <c r="E614" s="79"/>
    </row>
    <row r="615">
      <c r="C615" s="79"/>
      <c r="D615" s="79"/>
      <c r="E615" s="79"/>
    </row>
    <row r="616">
      <c r="C616" s="79"/>
      <c r="D616" s="79"/>
      <c r="E616" s="79"/>
    </row>
    <row r="617">
      <c r="C617" s="79"/>
      <c r="D617" s="79"/>
      <c r="E617" s="79"/>
    </row>
    <row r="618">
      <c r="C618" s="79"/>
      <c r="D618" s="79"/>
      <c r="E618" s="79"/>
    </row>
    <row r="619">
      <c r="C619" s="79"/>
      <c r="D619" s="79"/>
      <c r="E619" s="79"/>
    </row>
    <row r="620">
      <c r="C620" s="79"/>
      <c r="D620" s="79"/>
      <c r="E620" s="79"/>
    </row>
    <row r="621">
      <c r="C621" s="79"/>
      <c r="D621" s="79"/>
      <c r="E621" s="79"/>
    </row>
    <row r="622">
      <c r="C622" s="79"/>
      <c r="D622" s="79"/>
      <c r="E622" s="79"/>
    </row>
    <row r="623">
      <c r="C623" s="79"/>
      <c r="D623" s="79"/>
      <c r="E623" s="79"/>
    </row>
    <row r="624">
      <c r="C624" s="79"/>
      <c r="D624" s="79"/>
      <c r="E624" s="79"/>
    </row>
    <row r="625">
      <c r="C625" s="79"/>
      <c r="D625" s="79"/>
      <c r="E625" s="79"/>
    </row>
    <row r="626">
      <c r="C626" s="79"/>
      <c r="D626" s="79"/>
      <c r="E626" s="79"/>
    </row>
    <row r="627">
      <c r="C627" s="79"/>
      <c r="D627" s="79"/>
      <c r="E627" s="79"/>
    </row>
    <row r="628">
      <c r="C628" s="79"/>
      <c r="D628" s="79"/>
      <c r="E628" s="79"/>
    </row>
    <row r="629">
      <c r="C629" s="79"/>
      <c r="D629" s="79"/>
      <c r="E629" s="79"/>
    </row>
    <row r="630">
      <c r="C630" s="79"/>
      <c r="D630" s="79"/>
      <c r="E630" s="79"/>
    </row>
    <row r="631">
      <c r="C631" s="79"/>
      <c r="D631" s="79"/>
      <c r="E631" s="79"/>
    </row>
    <row r="632">
      <c r="C632" s="79"/>
      <c r="D632" s="79"/>
      <c r="E632" s="79"/>
    </row>
    <row r="633">
      <c r="C633" s="79"/>
      <c r="D633" s="79"/>
      <c r="E633" s="79"/>
    </row>
    <row r="634">
      <c r="C634" s="79"/>
      <c r="D634" s="79"/>
      <c r="E634" s="79"/>
    </row>
    <row r="635">
      <c r="C635" s="79"/>
      <c r="D635" s="79"/>
      <c r="E635" s="79"/>
    </row>
    <row r="636">
      <c r="C636" s="79"/>
      <c r="D636" s="79"/>
      <c r="E636" s="79"/>
    </row>
    <row r="637">
      <c r="C637" s="79"/>
      <c r="D637" s="79"/>
      <c r="E637" s="79"/>
    </row>
    <row r="638">
      <c r="C638" s="79"/>
      <c r="D638" s="79"/>
      <c r="E638" s="79"/>
    </row>
    <row r="639">
      <c r="C639" s="79"/>
      <c r="D639" s="79"/>
      <c r="E639" s="79"/>
    </row>
    <row r="640">
      <c r="C640" s="79"/>
      <c r="D640" s="79"/>
      <c r="E640" s="79"/>
    </row>
    <row r="641">
      <c r="C641" s="79"/>
      <c r="D641" s="79"/>
      <c r="E641" s="79"/>
    </row>
    <row r="642">
      <c r="C642" s="79"/>
      <c r="D642" s="79"/>
      <c r="E642" s="79"/>
    </row>
    <row r="643">
      <c r="C643" s="79"/>
      <c r="D643" s="79"/>
      <c r="E643" s="79"/>
    </row>
    <row r="644">
      <c r="C644" s="79"/>
      <c r="D644" s="79"/>
      <c r="E644" s="79"/>
    </row>
    <row r="645">
      <c r="C645" s="79"/>
      <c r="D645" s="79"/>
      <c r="E645" s="79"/>
    </row>
    <row r="646">
      <c r="C646" s="79"/>
      <c r="D646" s="79"/>
      <c r="E646" s="79"/>
    </row>
    <row r="647">
      <c r="C647" s="79"/>
      <c r="D647" s="79"/>
      <c r="E647" s="79"/>
    </row>
    <row r="648">
      <c r="C648" s="79"/>
      <c r="D648" s="79"/>
      <c r="E648" s="79"/>
    </row>
    <row r="649">
      <c r="C649" s="79"/>
      <c r="D649" s="79"/>
      <c r="E649" s="79"/>
    </row>
    <row r="650">
      <c r="C650" s="79"/>
      <c r="D650" s="79"/>
      <c r="E650" s="79"/>
    </row>
    <row r="651">
      <c r="C651" s="79"/>
      <c r="D651" s="79"/>
      <c r="E651" s="79"/>
    </row>
    <row r="652">
      <c r="C652" s="79"/>
      <c r="D652" s="79"/>
      <c r="E652" s="79"/>
    </row>
    <row r="653">
      <c r="C653" s="79"/>
      <c r="D653" s="79"/>
      <c r="E653" s="79"/>
    </row>
    <row r="654">
      <c r="C654" s="79"/>
      <c r="D654" s="79"/>
      <c r="E654" s="79"/>
    </row>
    <row r="655">
      <c r="C655" s="79"/>
      <c r="D655" s="79"/>
      <c r="E655" s="79"/>
    </row>
    <row r="656">
      <c r="C656" s="79"/>
      <c r="D656" s="79"/>
      <c r="E656" s="79"/>
    </row>
    <row r="657">
      <c r="C657" s="79"/>
      <c r="D657" s="79"/>
      <c r="E657" s="79"/>
    </row>
    <row r="658">
      <c r="C658" s="79"/>
      <c r="D658" s="79"/>
      <c r="E658" s="79"/>
    </row>
    <row r="659">
      <c r="C659" s="79"/>
      <c r="D659" s="79"/>
      <c r="E659" s="79"/>
    </row>
    <row r="660">
      <c r="C660" s="79"/>
      <c r="D660" s="79"/>
      <c r="E660" s="79"/>
    </row>
    <row r="661">
      <c r="C661" s="79"/>
      <c r="D661" s="79"/>
      <c r="E661" s="79"/>
    </row>
    <row r="662">
      <c r="C662" s="79"/>
      <c r="D662" s="79"/>
      <c r="E662" s="79"/>
    </row>
    <row r="663">
      <c r="C663" s="79"/>
      <c r="D663" s="79"/>
      <c r="E663" s="79"/>
    </row>
    <row r="664">
      <c r="C664" s="79"/>
      <c r="D664" s="79"/>
      <c r="E664" s="79"/>
    </row>
    <row r="665">
      <c r="C665" s="79"/>
      <c r="D665" s="79"/>
      <c r="E665" s="79"/>
    </row>
    <row r="666">
      <c r="C666" s="79"/>
      <c r="D666" s="79"/>
      <c r="E666" s="79"/>
    </row>
    <row r="667">
      <c r="C667" s="79"/>
      <c r="D667" s="79"/>
      <c r="E667" s="79"/>
    </row>
    <row r="668">
      <c r="C668" s="79"/>
      <c r="D668" s="79"/>
      <c r="E668" s="79"/>
    </row>
    <row r="669">
      <c r="C669" s="79"/>
      <c r="D669" s="79"/>
      <c r="E669" s="79"/>
    </row>
    <row r="670">
      <c r="C670" s="79"/>
      <c r="D670" s="79"/>
      <c r="E670" s="79"/>
    </row>
    <row r="671">
      <c r="C671" s="79"/>
      <c r="D671" s="79"/>
      <c r="E671" s="79"/>
    </row>
    <row r="672">
      <c r="C672" s="79"/>
      <c r="D672" s="79"/>
      <c r="E672" s="79"/>
    </row>
    <row r="673">
      <c r="C673" s="79"/>
      <c r="D673" s="79"/>
      <c r="E673" s="79"/>
    </row>
    <row r="674">
      <c r="C674" s="79"/>
      <c r="D674" s="79"/>
      <c r="E674" s="79"/>
    </row>
    <row r="675">
      <c r="C675" s="79"/>
      <c r="D675" s="79"/>
      <c r="E675" s="79"/>
    </row>
    <row r="676">
      <c r="C676" s="79"/>
      <c r="D676" s="79"/>
      <c r="E676" s="79"/>
    </row>
    <row r="677">
      <c r="C677" s="79"/>
      <c r="D677" s="79"/>
      <c r="E677" s="79"/>
    </row>
    <row r="678">
      <c r="C678" s="79"/>
      <c r="D678" s="79"/>
      <c r="E678" s="79"/>
    </row>
    <row r="679">
      <c r="C679" s="79"/>
      <c r="D679" s="79"/>
      <c r="E679" s="79"/>
    </row>
    <row r="680">
      <c r="C680" s="79"/>
      <c r="D680" s="79"/>
      <c r="E680" s="79"/>
    </row>
    <row r="681">
      <c r="C681" s="79"/>
      <c r="D681" s="79"/>
      <c r="E681" s="79"/>
    </row>
    <row r="682">
      <c r="C682" s="79"/>
      <c r="D682" s="79"/>
      <c r="E682" s="79"/>
    </row>
    <row r="683">
      <c r="C683" s="79"/>
      <c r="D683" s="79"/>
      <c r="E683" s="79"/>
    </row>
    <row r="684">
      <c r="C684" s="79"/>
      <c r="D684" s="79"/>
      <c r="E684" s="79"/>
    </row>
    <row r="685">
      <c r="C685" s="79"/>
      <c r="D685" s="79"/>
      <c r="E685" s="79"/>
    </row>
    <row r="686">
      <c r="C686" s="79"/>
      <c r="D686" s="79"/>
      <c r="E686" s="79"/>
    </row>
    <row r="687">
      <c r="C687" s="79"/>
      <c r="D687" s="79"/>
      <c r="E687" s="79"/>
    </row>
    <row r="688">
      <c r="C688" s="79"/>
      <c r="D688" s="79"/>
      <c r="E688" s="79"/>
    </row>
    <row r="689">
      <c r="C689" s="79"/>
      <c r="D689" s="79"/>
      <c r="E689" s="79"/>
    </row>
    <row r="690">
      <c r="C690" s="79"/>
      <c r="D690" s="79"/>
      <c r="E690" s="79"/>
    </row>
    <row r="691">
      <c r="C691" s="79"/>
      <c r="D691" s="79"/>
      <c r="E691" s="79"/>
    </row>
    <row r="692">
      <c r="C692" s="79"/>
      <c r="D692" s="79"/>
      <c r="E692" s="79"/>
    </row>
    <row r="693">
      <c r="C693" s="79"/>
      <c r="D693" s="79"/>
      <c r="E693" s="79"/>
    </row>
    <row r="694">
      <c r="C694" s="79"/>
      <c r="D694" s="79"/>
      <c r="E694" s="79"/>
    </row>
    <row r="695">
      <c r="C695" s="79"/>
      <c r="D695" s="79"/>
      <c r="E695" s="79"/>
    </row>
    <row r="696">
      <c r="C696" s="79"/>
      <c r="D696" s="79"/>
      <c r="E696" s="79"/>
    </row>
    <row r="697">
      <c r="C697" s="79"/>
      <c r="D697" s="79"/>
      <c r="E697" s="79"/>
    </row>
    <row r="698">
      <c r="C698" s="79"/>
      <c r="D698" s="79"/>
      <c r="E698" s="79"/>
    </row>
    <row r="699">
      <c r="C699" s="79"/>
      <c r="D699" s="79"/>
      <c r="E699" s="79"/>
    </row>
    <row r="700">
      <c r="C700" s="79"/>
      <c r="D700" s="79"/>
      <c r="E700" s="79"/>
    </row>
    <row r="701">
      <c r="C701" s="79"/>
      <c r="D701" s="79"/>
      <c r="E701" s="79"/>
    </row>
    <row r="702">
      <c r="C702" s="79"/>
      <c r="D702" s="79"/>
      <c r="E702" s="79"/>
    </row>
    <row r="703">
      <c r="C703" s="79"/>
      <c r="D703" s="79"/>
      <c r="E703" s="79"/>
    </row>
    <row r="704">
      <c r="C704" s="79"/>
      <c r="D704" s="79"/>
      <c r="E704" s="79"/>
    </row>
    <row r="705">
      <c r="C705" s="79"/>
      <c r="D705" s="79"/>
      <c r="E705" s="79"/>
    </row>
    <row r="706">
      <c r="C706" s="79"/>
      <c r="D706" s="79"/>
      <c r="E706" s="79"/>
    </row>
    <row r="707">
      <c r="C707" s="79"/>
      <c r="D707" s="79"/>
      <c r="E707" s="79"/>
    </row>
    <row r="708">
      <c r="C708" s="79"/>
      <c r="D708" s="79"/>
      <c r="E708" s="79"/>
    </row>
    <row r="709">
      <c r="C709" s="79"/>
      <c r="D709" s="79"/>
      <c r="E709" s="79"/>
    </row>
    <row r="710">
      <c r="C710" s="79"/>
      <c r="D710" s="79"/>
      <c r="E710" s="79"/>
    </row>
    <row r="711">
      <c r="C711" s="79"/>
      <c r="D711" s="79"/>
      <c r="E711" s="79"/>
    </row>
    <row r="712">
      <c r="C712" s="79"/>
      <c r="D712" s="79"/>
      <c r="E712" s="79"/>
    </row>
    <row r="713">
      <c r="C713" s="79"/>
      <c r="D713" s="79"/>
      <c r="E713" s="79"/>
    </row>
    <row r="714">
      <c r="C714" s="79"/>
      <c r="D714" s="79"/>
      <c r="E714" s="79"/>
    </row>
    <row r="715">
      <c r="C715" s="79"/>
      <c r="D715" s="79"/>
      <c r="E715" s="79"/>
    </row>
    <row r="716">
      <c r="C716" s="79"/>
      <c r="D716" s="79"/>
      <c r="E716" s="79"/>
    </row>
    <row r="717">
      <c r="C717" s="79"/>
      <c r="D717" s="79"/>
      <c r="E717" s="79"/>
    </row>
    <row r="718">
      <c r="C718" s="79"/>
      <c r="D718" s="79"/>
      <c r="E718" s="79"/>
    </row>
    <row r="719">
      <c r="C719" s="79"/>
      <c r="D719" s="79"/>
      <c r="E719" s="79"/>
    </row>
    <row r="720">
      <c r="C720" s="79"/>
      <c r="D720" s="79"/>
      <c r="E720" s="79"/>
    </row>
    <row r="721">
      <c r="C721" s="79"/>
      <c r="D721" s="79"/>
      <c r="E721" s="79"/>
    </row>
    <row r="722">
      <c r="C722" s="79"/>
      <c r="D722" s="79"/>
      <c r="E722" s="79"/>
    </row>
    <row r="723">
      <c r="C723" s="79"/>
      <c r="D723" s="79"/>
      <c r="E723" s="79"/>
    </row>
    <row r="724">
      <c r="C724" s="79"/>
      <c r="D724" s="79"/>
      <c r="E724" s="79"/>
    </row>
    <row r="725">
      <c r="C725" s="79"/>
      <c r="D725" s="79"/>
      <c r="E725" s="79"/>
    </row>
    <row r="726">
      <c r="C726" s="79"/>
      <c r="D726" s="79"/>
      <c r="E726" s="79"/>
    </row>
    <row r="727">
      <c r="C727" s="79"/>
      <c r="D727" s="79"/>
      <c r="E727" s="79"/>
    </row>
    <row r="728">
      <c r="C728" s="79"/>
      <c r="D728" s="79"/>
      <c r="E728" s="79"/>
    </row>
    <row r="729">
      <c r="C729" s="79"/>
      <c r="D729" s="79"/>
      <c r="E729" s="79"/>
    </row>
    <row r="730">
      <c r="C730" s="79"/>
      <c r="D730" s="79"/>
      <c r="E730" s="79"/>
    </row>
    <row r="731">
      <c r="C731" s="79"/>
      <c r="D731" s="79"/>
      <c r="E731" s="79"/>
    </row>
    <row r="732">
      <c r="C732" s="79"/>
      <c r="D732" s="79"/>
      <c r="E732" s="79"/>
    </row>
    <row r="733">
      <c r="C733" s="79"/>
      <c r="D733" s="79"/>
      <c r="E733" s="79"/>
    </row>
    <row r="734">
      <c r="C734" s="79"/>
      <c r="D734" s="79"/>
      <c r="E734" s="79"/>
    </row>
    <row r="735">
      <c r="C735" s="79"/>
      <c r="D735" s="79"/>
      <c r="E735" s="79"/>
    </row>
    <row r="736">
      <c r="C736" s="79"/>
      <c r="D736" s="79"/>
      <c r="E736" s="79"/>
    </row>
    <row r="737">
      <c r="C737" s="79"/>
      <c r="D737" s="79"/>
      <c r="E737" s="79"/>
    </row>
    <row r="738">
      <c r="C738" s="79"/>
      <c r="D738" s="79"/>
      <c r="E738" s="79"/>
    </row>
    <row r="739">
      <c r="C739" s="79"/>
      <c r="D739" s="79"/>
      <c r="E739" s="79"/>
    </row>
    <row r="740">
      <c r="C740" s="79"/>
      <c r="D740" s="79"/>
      <c r="E740" s="79"/>
    </row>
    <row r="741">
      <c r="C741" s="79"/>
      <c r="D741" s="79"/>
      <c r="E741" s="79"/>
    </row>
    <row r="742">
      <c r="C742" s="79"/>
      <c r="D742" s="79"/>
      <c r="E742" s="79"/>
    </row>
    <row r="743">
      <c r="C743" s="79"/>
      <c r="D743" s="79"/>
      <c r="E743" s="79"/>
    </row>
    <row r="744">
      <c r="C744" s="79"/>
      <c r="D744" s="79"/>
      <c r="E744" s="79"/>
    </row>
    <row r="745">
      <c r="C745" s="79"/>
      <c r="D745" s="79"/>
      <c r="E745" s="79"/>
    </row>
    <row r="746">
      <c r="C746" s="79"/>
      <c r="D746" s="79"/>
      <c r="E746" s="79"/>
    </row>
    <row r="747">
      <c r="C747" s="79"/>
      <c r="D747" s="79"/>
      <c r="E747" s="79"/>
    </row>
    <row r="748">
      <c r="C748" s="79"/>
      <c r="D748" s="79"/>
      <c r="E748" s="79"/>
    </row>
    <row r="749">
      <c r="C749" s="79"/>
      <c r="D749" s="79"/>
      <c r="E749" s="79"/>
    </row>
    <row r="750">
      <c r="C750" s="79"/>
      <c r="D750" s="79"/>
      <c r="E750" s="79"/>
    </row>
    <row r="751">
      <c r="C751" s="79"/>
      <c r="D751" s="79"/>
      <c r="E751" s="79"/>
    </row>
    <row r="752">
      <c r="C752" s="79"/>
      <c r="D752" s="79"/>
      <c r="E752" s="79"/>
    </row>
    <row r="753">
      <c r="C753" s="79"/>
      <c r="D753" s="79"/>
      <c r="E753" s="79"/>
    </row>
    <row r="754">
      <c r="C754" s="79"/>
      <c r="D754" s="79"/>
      <c r="E754" s="79"/>
    </row>
    <row r="755">
      <c r="C755" s="79"/>
      <c r="D755" s="79"/>
      <c r="E755" s="79"/>
    </row>
    <row r="756">
      <c r="C756" s="79"/>
      <c r="D756" s="79"/>
      <c r="E756" s="79"/>
    </row>
    <row r="757">
      <c r="C757" s="79"/>
      <c r="D757" s="79"/>
      <c r="E757" s="79"/>
    </row>
    <row r="758">
      <c r="C758" s="79"/>
      <c r="D758" s="79"/>
      <c r="E758" s="79"/>
    </row>
    <row r="759">
      <c r="C759" s="79"/>
      <c r="D759" s="79"/>
      <c r="E759" s="79"/>
    </row>
    <row r="760">
      <c r="C760" s="79"/>
      <c r="D760" s="79"/>
      <c r="E760" s="79"/>
    </row>
    <row r="761">
      <c r="C761" s="79"/>
      <c r="D761" s="79"/>
      <c r="E761" s="79"/>
    </row>
    <row r="762">
      <c r="C762" s="79"/>
      <c r="D762" s="79"/>
      <c r="E762" s="79"/>
    </row>
    <row r="763">
      <c r="C763" s="79"/>
      <c r="D763" s="79"/>
      <c r="E763" s="79"/>
    </row>
    <row r="764">
      <c r="C764" s="79"/>
      <c r="D764" s="79"/>
      <c r="E764" s="79"/>
    </row>
    <row r="765">
      <c r="C765" s="79"/>
      <c r="D765" s="79"/>
      <c r="E765" s="79"/>
    </row>
    <row r="766">
      <c r="C766" s="79"/>
      <c r="D766" s="79"/>
      <c r="E766" s="79"/>
    </row>
    <row r="767">
      <c r="C767" s="79"/>
      <c r="D767" s="79"/>
      <c r="E767" s="79"/>
    </row>
    <row r="768">
      <c r="C768" s="79"/>
      <c r="D768" s="79"/>
      <c r="E768" s="79"/>
    </row>
    <row r="769">
      <c r="C769" s="79"/>
      <c r="D769" s="79"/>
      <c r="E769" s="79"/>
    </row>
    <row r="770">
      <c r="C770" s="79"/>
      <c r="D770" s="79"/>
      <c r="E770" s="79"/>
    </row>
    <row r="771">
      <c r="C771" s="79"/>
      <c r="D771" s="79"/>
      <c r="E771" s="79"/>
    </row>
    <row r="772">
      <c r="C772" s="79"/>
      <c r="D772" s="79"/>
      <c r="E772" s="79"/>
    </row>
    <row r="773">
      <c r="C773" s="79"/>
      <c r="D773" s="79"/>
      <c r="E773" s="79"/>
    </row>
    <row r="774">
      <c r="C774" s="79"/>
      <c r="D774" s="79"/>
      <c r="E774" s="79"/>
    </row>
    <row r="775">
      <c r="C775" s="79"/>
      <c r="D775" s="79"/>
      <c r="E775" s="79"/>
    </row>
    <row r="776">
      <c r="C776" s="79"/>
      <c r="D776" s="79"/>
      <c r="E776" s="79"/>
    </row>
    <row r="777">
      <c r="C777" s="79"/>
      <c r="D777" s="79"/>
      <c r="E777" s="79"/>
    </row>
    <row r="778">
      <c r="C778" s="79"/>
      <c r="D778" s="79"/>
      <c r="E778" s="79"/>
    </row>
    <row r="779">
      <c r="C779" s="79"/>
      <c r="D779" s="79"/>
      <c r="E779" s="79"/>
    </row>
    <row r="780">
      <c r="C780" s="79"/>
      <c r="D780" s="79"/>
      <c r="E780" s="79"/>
    </row>
    <row r="781">
      <c r="C781" s="79"/>
      <c r="D781" s="79"/>
      <c r="E781" s="79"/>
    </row>
    <row r="782">
      <c r="C782" s="79"/>
      <c r="D782" s="79"/>
      <c r="E782" s="79"/>
    </row>
    <row r="783">
      <c r="C783" s="79"/>
      <c r="D783" s="79"/>
      <c r="E783" s="79"/>
    </row>
    <row r="784">
      <c r="C784" s="79"/>
      <c r="D784" s="79"/>
      <c r="E784" s="79"/>
    </row>
    <row r="785">
      <c r="C785" s="79"/>
      <c r="D785" s="79"/>
      <c r="E785" s="79"/>
    </row>
    <row r="786">
      <c r="C786" s="79"/>
      <c r="D786" s="79"/>
      <c r="E786" s="79"/>
    </row>
    <row r="787">
      <c r="C787" s="79"/>
      <c r="D787" s="79"/>
      <c r="E787" s="79"/>
    </row>
    <row r="788">
      <c r="C788" s="79"/>
      <c r="D788" s="79"/>
      <c r="E788" s="79"/>
    </row>
    <row r="789">
      <c r="C789" s="79"/>
      <c r="D789" s="79"/>
      <c r="E789" s="79"/>
    </row>
    <row r="790">
      <c r="C790" s="79"/>
      <c r="D790" s="79"/>
      <c r="E790" s="79"/>
    </row>
    <row r="791">
      <c r="C791" s="79"/>
      <c r="D791" s="79"/>
      <c r="E791" s="79"/>
    </row>
    <row r="792">
      <c r="C792" s="79"/>
      <c r="D792" s="79"/>
      <c r="E792" s="79"/>
    </row>
    <row r="793">
      <c r="C793" s="79"/>
      <c r="D793" s="79"/>
      <c r="E793" s="79"/>
    </row>
    <row r="794">
      <c r="C794" s="79"/>
      <c r="D794" s="79"/>
      <c r="E794" s="79"/>
    </row>
    <row r="795">
      <c r="C795" s="79"/>
      <c r="D795" s="79"/>
      <c r="E795" s="79"/>
    </row>
    <row r="796">
      <c r="C796" s="79"/>
      <c r="D796" s="79"/>
      <c r="E796" s="79"/>
    </row>
    <row r="797">
      <c r="C797" s="79"/>
      <c r="D797" s="79"/>
      <c r="E797" s="79"/>
    </row>
    <row r="798">
      <c r="C798" s="79"/>
      <c r="D798" s="79"/>
      <c r="E798" s="79"/>
    </row>
    <row r="799">
      <c r="C799" s="79"/>
      <c r="D799" s="79"/>
      <c r="E799" s="79"/>
    </row>
    <row r="800">
      <c r="C800" s="79"/>
      <c r="D800" s="79"/>
      <c r="E800" s="79"/>
    </row>
    <row r="801">
      <c r="C801" s="79"/>
      <c r="D801" s="79"/>
      <c r="E801" s="79"/>
    </row>
    <row r="802">
      <c r="C802" s="79"/>
      <c r="D802" s="79"/>
      <c r="E802" s="79"/>
    </row>
    <row r="803">
      <c r="C803" s="79"/>
      <c r="D803" s="79"/>
      <c r="E803" s="79"/>
    </row>
    <row r="804">
      <c r="C804" s="79"/>
      <c r="D804" s="79"/>
      <c r="E804" s="79"/>
    </row>
    <row r="805">
      <c r="C805" s="79"/>
      <c r="D805" s="79"/>
      <c r="E805" s="79"/>
    </row>
    <row r="806">
      <c r="C806" s="79"/>
      <c r="D806" s="79"/>
      <c r="E806" s="79"/>
    </row>
    <row r="807">
      <c r="C807" s="79"/>
      <c r="D807" s="79"/>
      <c r="E807" s="79"/>
    </row>
    <row r="808">
      <c r="C808" s="79"/>
      <c r="D808" s="79"/>
      <c r="E808" s="79"/>
    </row>
    <row r="809">
      <c r="C809" s="79"/>
      <c r="D809" s="79"/>
      <c r="E809" s="79"/>
    </row>
    <row r="810">
      <c r="C810" s="79"/>
      <c r="D810" s="79"/>
      <c r="E810" s="79"/>
    </row>
    <row r="811">
      <c r="C811" s="79"/>
      <c r="D811" s="79"/>
      <c r="E811" s="79"/>
    </row>
    <row r="812">
      <c r="C812" s="79"/>
      <c r="D812" s="79"/>
      <c r="E812" s="79"/>
    </row>
    <row r="813">
      <c r="C813" s="79"/>
      <c r="D813" s="79"/>
      <c r="E813" s="79"/>
    </row>
    <row r="814">
      <c r="C814" s="79"/>
      <c r="D814" s="79"/>
      <c r="E814" s="79"/>
    </row>
    <row r="815">
      <c r="C815" s="79"/>
      <c r="D815" s="79"/>
      <c r="E815" s="79"/>
    </row>
    <row r="816">
      <c r="C816" s="79"/>
      <c r="D816" s="79"/>
      <c r="E816" s="79"/>
    </row>
    <row r="817">
      <c r="C817" s="79"/>
      <c r="D817" s="79"/>
      <c r="E817" s="79"/>
    </row>
    <row r="818">
      <c r="C818" s="79"/>
      <c r="D818" s="79"/>
      <c r="E818" s="79"/>
    </row>
    <row r="819">
      <c r="C819" s="79"/>
      <c r="D819" s="79"/>
      <c r="E819" s="79"/>
    </row>
    <row r="820">
      <c r="C820" s="79"/>
      <c r="D820" s="79"/>
      <c r="E820" s="79"/>
    </row>
    <row r="821">
      <c r="C821" s="79"/>
      <c r="D821" s="79"/>
      <c r="E821" s="79"/>
    </row>
    <row r="822">
      <c r="C822" s="79"/>
      <c r="D822" s="79"/>
      <c r="E822" s="79"/>
    </row>
    <row r="823">
      <c r="C823" s="79"/>
      <c r="D823" s="79"/>
      <c r="E823" s="79"/>
    </row>
    <row r="824">
      <c r="C824" s="79"/>
      <c r="D824" s="79"/>
      <c r="E824" s="79"/>
    </row>
    <row r="825">
      <c r="C825" s="79"/>
      <c r="D825" s="79"/>
      <c r="E825" s="79"/>
    </row>
    <row r="826">
      <c r="C826" s="79"/>
      <c r="D826" s="79"/>
      <c r="E826" s="79"/>
    </row>
    <row r="827">
      <c r="C827" s="79"/>
      <c r="D827" s="79"/>
      <c r="E827" s="79"/>
    </row>
    <row r="828">
      <c r="C828" s="79"/>
      <c r="D828" s="79"/>
      <c r="E828" s="79"/>
    </row>
    <row r="829">
      <c r="C829" s="79"/>
      <c r="D829" s="79"/>
      <c r="E829" s="79"/>
    </row>
    <row r="830">
      <c r="C830" s="79"/>
      <c r="D830" s="79"/>
      <c r="E830" s="79"/>
    </row>
    <row r="831">
      <c r="C831" s="79"/>
      <c r="D831" s="79"/>
      <c r="E831" s="79"/>
    </row>
    <row r="832">
      <c r="C832" s="79"/>
      <c r="D832" s="79"/>
      <c r="E832" s="79"/>
    </row>
    <row r="833">
      <c r="C833" s="79"/>
      <c r="D833" s="79"/>
      <c r="E833" s="79"/>
    </row>
    <row r="834">
      <c r="C834" s="79"/>
      <c r="D834" s="79"/>
      <c r="E834" s="79"/>
    </row>
    <row r="835">
      <c r="C835" s="79"/>
      <c r="D835" s="79"/>
      <c r="E835" s="79"/>
    </row>
    <row r="836">
      <c r="C836" s="79"/>
      <c r="D836" s="79"/>
      <c r="E836" s="79"/>
    </row>
    <row r="837">
      <c r="C837" s="79"/>
      <c r="D837" s="79"/>
      <c r="E837" s="79"/>
    </row>
    <row r="838">
      <c r="C838" s="79"/>
      <c r="D838" s="79"/>
      <c r="E838" s="79"/>
    </row>
    <row r="839">
      <c r="C839" s="79"/>
      <c r="D839" s="79"/>
      <c r="E839" s="79"/>
    </row>
    <row r="840">
      <c r="C840" s="79"/>
      <c r="D840" s="79"/>
      <c r="E840" s="79"/>
    </row>
    <row r="841">
      <c r="C841" s="79"/>
      <c r="D841" s="79"/>
      <c r="E841" s="79"/>
    </row>
    <row r="842">
      <c r="C842" s="79"/>
      <c r="D842" s="79"/>
      <c r="E842" s="79"/>
    </row>
    <row r="843">
      <c r="C843" s="79"/>
      <c r="D843" s="79"/>
      <c r="E843" s="79"/>
    </row>
    <row r="844">
      <c r="C844" s="79"/>
      <c r="D844" s="79"/>
      <c r="E844" s="79"/>
    </row>
    <row r="845">
      <c r="C845" s="79"/>
      <c r="D845" s="79"/>
      <c r="E845" s="79"/>
    </row>
    <row r="846">
      <c r="C846" s="79"/>
      <c r="D846" s="79"/>
      <c r="E846" s="79"/>
    </row>
    <row r="847">
      <c r="C847" s="79"/>
      <c r="D847" s="79"/>
      <c r="E847" s="79"/>
    </row>
    <row r="848">
      <c r="C848" s="79"/>
      <c r="D848" s="79"/>
      <c r="E848" s="79"/>
    </row>
    <row r="849">
      <c r="C849" s="79"/>
      <c r="D849" s="79"/>
      <c r="E849" s="79"/>
    </row>
    <row r="850">
      <c r="C850" s="79"/>
      <c r="D850" s="79"/>
      <c r="E850" s="79"/>
    </row>
    <row r="851">
      <c r="C851" s="79"/>
      <c r="D851" s="79"/>
      <c r="E851" s="79"/>
    </row>
    <row r="852">
      <c r="C852" s="79"/>
      <c r="D852" s="79"/>
      <c r="E852" s="79"/>
    </row>
    <row r="853">
      <c r="C853" s="79"/>
      <c r="D853" s="79"/>
      <c r="E853" s="79"/>
    </row>
    <row r="854">
      <c r="C854" s="79"/>
      <c r="D854" s="79"/>
      <c r="E854" s="79"/>
    </row>
    <row r="855">
      <c r="C855" s="79"/>
      <c r="D855" s="79"/>
      <c r="E855" s="79"/>
    </row>
    <row r="856">
      <c r="C856" s="79"/>
      <c r="D856" s="79"/>
      <c r="E856" s="79"/>
    </row>
    <row r="857">
      <c r="C857" s="79"/>
      <c r="D857" s="79"/>
      <c r="E857" s="79"/>
    </row>
    <row r="858">
      <c r="C858" s="79"/>
      <c r="D858" s="79"/>
      <c r="E858" s="79"/>
    </row>
    <row r="859">
      <c r="C859" s="79"/>
      <c r="D859" s="79"/>
      <c r="E859" s="79"/>
    </row>
    <row r="860">
      <c r="C860" s="79"/>
      <c r="D860" s="79"/>
      <c r="E860" s="79"/>
    </row>
    <row r="861">
      <c r="C861" s="79"/>
      <c r="D861" s="79"/>
      <c r="E861" s="79"/>
    </row>
    <row r="862">
      <c r="C862" s="79"/>
      <c r="D862" s="79"/>
      <c r="E862" s="79"/>
    </row>
    <row r="863">
      <c r="C863" s="79"/>
      <c r="D863" s="79"/>
      <c r="E863" s="79"/>
    </row>
    <row r="864">
      <c r="C864" s="79"/>
      <c r="D864" s="79"/>
      <c r="E864" s="79"/>
    </row>
    <row r="865">
      <c r="C865" s="79"/>
      <c r="D865" s="79"/>
      <c r="E865" s="79"/>
    </row>
    <row r="866">
      <c r="C866" s="79"/>
      <c r="D866" s="79"/>
      <c r="E866" s="79"/>
    </row>
    <row r="867">
      <c r="C867" s="79"/>
      <c r="D867" s="79"/>
      <c r="E867" s="79"/>
    </row>
    <row r="868">
      <c r="C868" s="79"/>
      <c r="D868" s="79"/>
      <c r="E868" s="79"/>
    </row>
    <row r="869">
      <c r="C869" s="79"/>
      <c r="D869" s="79"/>
      <c r="E869" s="79"/>
    </row>
    <row r="870">
      <c r="C870" s="79"/>
      <c r="D870" s="79"/>
      <c r="E870" s="79"/>
    </row>
    <row r="871">
      <c r="C871" s="79"/>
      <c r="D871" s="79"/>
      <c r="E871" s="79"/>
    </row>
    <row r="872">
      <c r="C872" s="79"/>
      <c r="D872" s="79"/>
      <c r="E872" s="79"/>
    </row>
    <row r="873">
      <c r="C873" s="79"/>
      <c r="D873" s="79"/>
      <c r="E873" s="79"/>
    </row>
    <row r="874">
      <c r="C874" s="79"/>
      <c r="D874" s="79"/>
      <c r="E874" s="79"/>
    </row>
    <row r="875">
      <c r="C875" s="79"/>
      <c r="D875" s="79"/>
      <c r="E875" s="79"/>
    </row>
    <row r="876">
      <c r="C876" s="79"/>
      <c r="D876" s="79"/>
      <c r="E876" s="79"/>
    </row>
    <row r="877">
      <c r="C877" s="79"/>
      <c r="D877" s="79"/>
      <c r="E877" s="79"/>
    </row>
    <row r="878">
      <c r="C878" s="79"/>
      <c r="D878" s="79"/>
      <c r="E878" s="79"/>
    </row>
    <row r="879">
      <c r="C879" s="79"/>
      <c r="D879" s="79"/>
      <c r="E879" s="79"/>
    </row>
    <row r="880">
      <c r="C880" s="79"/>
      <c r="D880" s="79"/>
      <c r="E880" s="79"/>
    </row>
    <row r="881">
      <c r="C881" s="79"/>
      <c r="D881" s="79"/>
      <c r="E881" s="79"/>
    </row>
    <row r="882">
      <c r="C882" s="79"/>
      <c r="D882" s="79"/>
      <c r="E882" s="79"/>
    </row>
    <row r="883">
      <c r="C883" s="79"/>
      <c r="D883" s="79"/>
      <c r="E883" s="79"/>
    </row>
    <row r="884">
      <c r="C884" s="79"/>
      <c r="D884" s="79"/>
      <c r="E884" s="79"/>
    </row>
    <row r="885">
      <c r="C885" s="79"/>
      <c r="D885" s="79"/>
      <c r="E885" s="79"/>
    </row>
    <row r="886">
      <c r="C886" s="79"/>
      <c r="D886" s="79"/>
      <c r="E886" s="79"/>
    </row>
    <row r="887">
      <c r="C887" s="79"/>
      <c r="D887" s="79"/>
      <c r="E887" s="79"/>
    </row>
    <row r="888">
      <c r="C888" s="79"/>
      <c r="D888" s="79"/>
      <c r="E888" s="79"/>
    </row>
    <row r="889">
      <c r="C889" s="79"/>
      <c r="D889" s="79"/>
      <c r="E889" s="79"/>
    </row>
    <row r="890">
      <c r="C890" s="79"/>
      <c r="D890" s="79"/>
      <c r="E890" s="79"/>
    </row>
    <row r="891">
      <c r="C891" s="79"/>
      <c r="D891" s="79"/>
      <c r="E891" s="79"/>
    </row>
    <row r="892">
      <c r="C892" s="79"/>
      <c r="D892" s="79"/>
      <c r="E892" s="79"/>
    </row>
    <row r="893">
      <c r="C893" s="79"/>
      <c r="D893" s="79"/>
      <c r="E893" s="79"/>
    </row>
    <row r="894">
      <c r="C894" s="79"/>
      <c r="D894" s="79"/>
      <c r="E894" s="79"/>
    </row>
    <row r="895">
      <c r="C895" s="79"/>
      <c r="D895" s="79"/>
      <c r="E895" s="79"/>
    </row>
    <row r="896">
      <c r="C896" s="79"/>
      <c r="D896" s="79"/>
      <c r="E896" s="79"/>
    </row>
    <row r="897">
      <c r="C897" s="79"/>
      <c r="D897" s="79"/>
      <c r="E897" s="79"/>
    </row>
    <row r="898">
      <c r="C898" s="79"/>
      <c r="D898" s="79"/>
      <c r="E898" s="79"/>
    </row>
    <row r="899">
      <c r="C899" s="79"/>
      <c r="D899" s="79"/>
      <c r="E899" s="79"/>
    </row>
    <row r="900">
      <c r="C900" s="79"/>
      <c r="D900" s="79"/>
      <c r="E900" s="79"/>
    </row>
    <row r="901">
      <c r="C901" s="79"/>
      <c r="D901" s="79"/>
      <c r="E901" s="79"/>
    </row>
    <row r="902">
      <c r="C902" s="79"/>
      <c r="D902" s="79"/>
      <c r="E902" s="79"/>
    </row>
    <row r="903">
      <c r="C903" s="79"/>
      <c r="D903" s="79"/>
      <c r="E903" s="79"/>
    </row>
    <row r="904">
      <c r="C904" s="79"/>
      <c r="D904" s="79"/>
      <c r="E904" s="79"/>
    </row>
    <row r="905">
      <c r="C905" s="79"/>
      <c r="D905" s="79"/>
      <c r="E905" s="79"/>
    </row>
    <row r="906">
      <c r="C906" s="79"/>
      <c r="D906" s="79"/>
      <c r="E906" s="79"/>
    </row>
    <row r="907">
      <c r="C907" s="79"/>
      <c r="D907" s="79"/>
      <c r="E907" s="79"/>
    </row>
    <row r="908">
      <c r="C908" s="79"/>
      <c r="D908" s="79"/>
      <c r="E908" s="79"/>
    </row>
    <row r="909">
      <c r="C909" s="79"/>
      <c r="D909" s="79"/>
      <c r="E909" s="79"/>
    </row>
    <row r="910">
      <c r="C910" s="79"/>
      <c r="D910" s="79"/>
      <c r="E910" s="79"/>
    </row>
    <row r="911">
      <c r="C911" s="79"/>
      <c r="D911" s="79"/>
      <c r="E911" s="79"/>
    </row>
    <row r="912">
      <c r="C912" s="79"/>
      <c r="D912" s="79"/>
      <c r="E912" s="79"/>
    </row>
    <row r="913">
      <c r="C913" s="79"/>
      <c r="D913" s="79"/>
      <c r="E913" s="79"/>
    </row>
    <row r="914">
      <c r="C914" s="79"/>
      <c r="D914" s="79"/>
      <c r="E914" s="79"/>
    </row>
    <row r="915">
      <c r="C915" s="79"/>
      <c r="D915" s="79"/>
      <c r="E915" s="79"/>
    </row>
    <row r="916">
      <c r="C916" s="79"/>
      <c r="D916" s="79"/>
      <c r="E916" s="79"/>
    </row>
    <row r="917">
      <c r="C917" s="79"/>
      <c r="D917" s="79"/>
      <c r="E917" s="79"/>
    </row>
    <row r="918">
      <c r="C918" s="79"/>
      <c r="D918" s="79"/>
      <c r="E918" s="79"/>
    </row>
    <row r="919">
      <c r="C919" s="79"/>
      <c r="D919" s="79"/>
      <c r="E919" s="79"/>
    </row>
    <row r="920">
      <c r="C920" s="79"/>
      <c r="D920" s="79"/>
      <c r="E920" s="79"/>
    </row>
    <row r="921">
      <c r="C921" s="79"/>
      <c r="D921" s="79"/>
      <c r="E921" s="79"/>
    </row>
    <row r="922">
      <c r="C922" s="79"/>
      <c r="D922" s="79"/>
      <c r="E922" s="79"/>
    </row>
    <row r="923">
      <c r="C923" s="79"/>
      <c r="D923" s="79"/>
      <c r="E923" s="79"/>
    </row>
    <row r="924">
      <c r="C924" s="79"/>
      <c r="D924" s="79"/>
      <c r="E924" s="79"/>
    </row>
    <row r="925">
      <c r="C925" s="79"/>
      <c r="D925" s="79"/>
      <c r="E925" s="79"/>
    </row>
    <row r="926">
      <c r="C926" s="79"/>
      <c r="D926" s="79"/>
      <c r="E926" s="79"/>
    </row>
    <row r="927">
      <c r="C927" s="79"/>
      <c r="D927" s="79"/>
      <c r="E927" s="79"/>
    </row>
    <row r="928">
      <c r="C928" s="79"/>
      <c r="D928" s="79"/>
      <c r="E928" s="79"/>
    </row>
    <row r="929">
      <c r="C929" s="79"/>
      <c r="D929" s="79"/>
      <c r="E929" s="79"/>
    </row>
    <row r="930">
      <c r="C930" s="79"/>
      <c r="D930" s="79"/>
      <c r="E930" s="79"/>
    </row>
    <row r="931">
      <c r="C931" s="79"/>
      <c r="D931" s="79"/>
      <c r="E931" s="79"/>
    </row>
    <row r="932">
      <c r="C932" s="79"/>
      <c r="D932" s="79"/>
      <c r="E932" s="79"/>
    </row>
    <row r="933">
      <c r="C933" s="79"/>
      <c r="D933" s="79"/>
      <c r="E933" s="79"/>
    </row>
    <row r="934">
      <c r="C934" s="79"/>
      <c r="D934" s="79"/>
      <c r="E934" s="79"/>
    </row>
    <row r="935">
      <c r="C935" s="79"/>
      <c r="D935" s="79"/>
      <c r="E935" s="79"/>
    </row>
    <row r="936">
      <c r="C936" s="79"/>
      <c r="D936" s="79"/>
      <c r="E936" s="79"/>
    </row>
    <row r="937">
      <c r="C937" s="79"/>
      <c r="D937" s="79"/>
      <c r="E937" s="79"/>
    </row>
    <row r="938">
      <c r="C938" s="79"/>
      <c r="D938" s="79"/>
      <c r="E938" s="79"/>
    </row>
    <row r="939">
      <c r="C939" s="79"/>
      <c r="D939" s="79"/>
      <c r="E939" s="79"/>
    </row>
    <row r="940">
      <c r="C940" s="79"/>
      <c r="D940" s="79"/>
      <c r="E940" s="79"/>
    </row>
    <row r="941">
      <c r="C941" s="79"/>
      <c r="D941" s="79"/>
      <c r="E941" s="79"/>
    </row>
    <row r="942">
      <c r="C942" s="79"/>
      <c r="D942" s="79"/>
      <c r="E942" s="79"/>
    </row>
    <row r="943">
      <c r="C943" s="79"/>
      <c r="D943" s="79"/>
      <c r="E943" s="79"/>
    </row>
    <row r="944">
      <c r="C944" s="79"/>
      <c r="D944" s="79"/>
      <c r="E944" s="79"/>
    </row>
    <row r="945">
      <c r="C945" s="79"/>
      <c r="D945" s="79"/>
      <c r="E945" s="79"/>
    </row>
    <row r="946">
      <c r="C946" s="79"/>
      <c r="D946" s="79"/>
      <c r="E946" s="79"/>
    </row>
    <row r="947">
      <c r="C947" s="79"/>
      <c r="D947" s="79"/>
      <c r="E947" s="79"/>
    </row>
    <row r="948">
      <c r="C948" s="79"/>
      <c r="D948" s="79"/>
      <c r="E948" s="79"/>
    </row>
    <row r="949">
      <c r="C949" s="79"/>
      <c r="D949" s="79"/>
      <c r="E949" s="79"/>
    </row>
    <row r="950">
      <c r="C950" s="79"/>
      <c r="D950" s="79"/>
      <c r="E950" s="79"/>
    </row>
    <row r="951">
      <c r="C951" s="79"/>
      <c r="D951" s="79"/>
      <c r="E951" s="79"/>
    </row>
    <row r="952">
      <c r="C952" s="79"/>
      <c r="D952" s="79"/>
      <c r="E952" s="79"/>
    </row>
    <row r="953">
      <c r="C953" s="79"/>
      <c r="D953" s="79"/>
      <c r="E953" s="79"/>
    </row>
    <row r="954">
      <c r="C954" s="79"/>
      <c r="D954" s="79"/>
      <c r="E954" s="79"/>
    </row>
    <row r="955">
      <c r="C955" s="79"/>
      <c r="D955" s="79"/>
      <c r="E955" s="79"/>
    </row>
    <row r="956">
      <c r="C956" s="79"/>
      <c r="D956" s="79"/>
      <c r="E956" s="79"/>
    </row>
    <row r="957">
      <c r="C957" s="79"/>
      <c r="D957" s="79"/>
      <c r="E957" s="79"/>
    </row>
    <row r="958">
      <c r="C958" s="79"/>
      <c r="D958" s="79"/>
      <c r="E958" s="79"/>
    </row>
    <row r="959">
      <c r="C959" s="79"/>
      <c r="D959" s="79"/>
      <c r="E959" s="79"/>
    </row>
    <row r="960">
      <c r="C960" s="79"/>
      <c r="D960" s="79"/>
      <c r="E960" s="79"/>
    </row>
    <row r="961">
      <c r="C961" s="79"/>
      <c r="D961" s="79"/>
      <c r="E961" s="79"/>
    </row>
    <row r="962">
      <c r="C962" s="79"/>
      <c r="D962" s="79"/>
      <c r="E962" s="79"/>
    </row>
    <row r="963">
      <c r="C963" s="79"/>
      <c r="D963" s="79"/>
      <c r="E963" s="79"/>
    </row>
    <row r="964">
      <c r="C964" s="79"/>
      <c r="D964" s="79"/>
      <c r="E964" s="79"/>
    </row>
    <row r="965">
      <c r="C965" s="79"/>
      <c r="D965" s="79"/>
      <c r="E965" s="79"/>
    </row>
    <row r="966">
      <c r="C966" s="79"/>
      <c r="D966" s="79"/>
      <c r="E966" s="79"/>
    </row>
    <row r="967">
      <c r="C967" s="79"/>
      <c r="D967" s="79"/>
      <c r="E967" s="79"/>
    </row>
    <row r="968">
      <c r="C968" s="79"/>
      <c r="D968" s="79"/>
      <c r="E968" s="79"/>
    </row>
    <row r="969">
      <c r="C969" s="79"/>
      <c r="D969" s="79"/>
      <c r="E969" s="79"/>
    </row>
    <row r="970">
      <c r="C970" s="79"/>
      <c r="D970" s="79"/>
      <c r="E970" s="79"/>
    </row>
    <row r="971">
      <c r="C971" s="79"/>
      <c r="D971" s="79"/>
      <c r="E971" s="79"/>
    </row>
    <row r="972">
      <c r="C972" s="79"/>
      <c r="D972" s="79"/>
      <c r="E972" s="79"/>
    </row>
    <row r="973">
      <c r="C973" s="79"/>
      <c r="D973" s="79"/>
      <c r="E973" s="79"/>
    </row>
    <row r="974">
      <c r="C974" s="79"/>
      <c r="D974" s="79"/>
      <c r="E974" s="79"/>
    </row>
    <row r="975">
      <c r="C975" s="79"/>
      <c r="D975" s="79"/>
      <c r="E975" s="79"/>
    </row>
    <row r="976">
      <c r="C976" s="79"/>
      <c r="D976" s="79"/>
      <c r="E976" s="79"/>
    </row>
    <row r="977">
      <c r="C977" s="79"/>
      <c r="D977" s="79"/>
      <c r="E977" s="79"/>
    </row>
    <row r="978">
      <c r="C978" s="79"/>
      <c r="D978" s="79"/>
      <c r="E978" s="79"/>
    </row>
    <row r="979">
      <c r="C979" s="79"/>
      <c r="D979" s="79"/>
      <c r="E979" s="79"/>
    </row>
    <row r="980">
      <c r="C980" s="79"/>
      <c r="D980" s="79"/>
      <c r="E980" s="79"/>
    </row>
    <row r="981">
      <c r="C981" s="79"/>
      <c r="D981" s="79"/>
      <c r="E981" s="79"/>
    </row>
    <row r="982">
      <c r="C982" s="79"/>
      <c r="D982" s="79"/>
      <c r="E982" s="79"/>
    </row>
    <row r="983">
      <c r="C983" s="79"/>
      <c r="D983" s="79"/>
      <c r="E983" s="79"/>
    </row>
    <row r="984">
      <c r="C984" s="79"/>
      <c r="D984" s="79"/>
      <c r="E984" s="79"/>
    </row>
    <row r="985">
      <c r="C985" s="79"/>
      <c r="D985" s="79"/>
      <c r="E985" s="79"/>
    </row>
    <row r="986">
      <c r="C986" s="79"/>
      <c r="D986" s="79"/>
      <c r="E986" s="79"/>
    </row>
    <row r="987">
      <c r="C987" s="79"/>
      <c r="D987" s="79"/>
      <c r="E987" s="79"/>
    </row>
    <row r="988">
      <c r="C988" s="79"/>
      <c r="D988" s="79"/>
      <c r="E988" s="79"/>
    </row>
    <row r="989">
      <c r="C989" s="79"/>
      <c r="D989" s="79"/>
      <c r="E989" s="79"/>
    </row>
    <row r="990">
      <c r="C990" s="79"/>
      <c r="D990" s="79"/>
      <c r="E990" s="79"/>
    </row>
    <row r="991">
      <c r="C991" s="79"/>
      <c r="D991" s="79"/>
      <c r="E991" s="79"/>
    </row>
    <row r="992">
      <c r="C992" s="79"/>
      <c r="D992" s="79"/>
      <c r="E992" s="79"/>
    </row>
    <row r="993">
      <c r="C993" s="79"/>
      <c r="D993" s="79"/>
      <c r="E993" s="79"/>
    </row>
    <row r="994">
      <c r="C994" s="79"/>
      <c r="D994" s="79"/>
      <c r="E994" s="79"/>
    </row>
    <row r="995">
      <c r="C995" s="79"/>
      <c r="D995" s="79"/>
      <c r="E995" s="79"/>
    </row>
    <row r="996">
      <c r="C996" s="79"/>
      <c r="D996" s="79"/>
      <c r="E996" s="79"/>
    </row>
    <row r="997">
      <c r="C997" s="79"/>
      <c r="D997" s="79"/>
      <c r="E997" s="79"/>
    </row>
    <row r="998">
      <c r="C998" s="79"/>
      <c r="D998" s="79"/>
      <c r="E998" s="79"/>
    </row>
    <row r="999">
      <c r="C999" s="79"/>
      <c r="D999" s="79"/>
      <c r="E999" s="7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8.13"/>
    <col customWidth="1" min="3" max="3" width="19.63"/>
    <col customWidth="1" min="4" max="4" width="20.75"/>
    <col customWidth="1" min="6" max="6" width="16.63"/>
  </cols>
  <sheetData>
    <row r="1">
      <c r="A1" s="26" t="s">
        <v>2</v>
      </c>
      <c r="B1" s="26" t="s">
        <v>40</v>
      </c>
      <c r="C1" s="26" t="s">
        <v>41</v>
      </c>
      <c r="D1" s="26" t="s">
        <v>42</v>
      </c>
      <c r="E1" s="26" t="s">
        <v>43</v>
      </c>
      <c r="F1" s="26" t="s">
        <v>44</v>
      </c>
      <c r="G1" s="26" t="s">
        <v>45</v>
      </c>
      <c r="H1" s="26" t="s">
        <v>623</v>
      </c>
      <c r="I1" s="6" t="s">
        <v>624</v>
      </c>
      <c r="J1" s="26" t="s">
        <v>48</v>
      </c>
      <c r="K1" s="26" t="s">
        <v>49</v>
      </c>
      <c r="L1" s="26" t="s">
        <v>50</v>
      </c>
      <c r="M1" s="6" t="s">
        <v>51</v>
      </c>
      <c r="N1" s="6" t="s">
        <v>52</v>
      </c>
      <c r="O1" s="26" t="s">
        <v>53</v>
      </c>
      <c r="P1" s="6" t="s">
        <v>54</v>
      </c>
    </row>
    <row r="2">
      <c r="A2" s="6" t="s">
        <v>275</v>
      </c>
      <c r="B2" s="92"/>
      <c r="C2" s="92"/>
      <c r="D2" s="92"/>
      <c r="E2" s="92"/>
      <c r="F2" s="28"/>
      <c r="G2" s="93"/>
      <c r="H2" s="92"/>
      <c r="I2" s="92"/>
      <c r="J2" s="92"/>
      <c r="K2" s="94"/>
      <c r="L2" s="95"/>
      <c r="M2" s="28"/>
      <c r="N2" s="28"/>
      <c r="O2" s="28"/>
      <c r="P2" s="28"/>
      <c r="Q2" s="28"/>
      <c r="R2" s="28"/>
      <c r="S2" s="28"/>
      <c r="T2" s="28"/>
      <c r="U2" s="28"/>
      <c r="V2" s="28"/>
      <c r="W2" s="28"/>
      <c r="X2" s="28"/>
      <c r="Y2" s="28"/>
      <c r="Z2" s="28"/>
      <c r="AA2" s="28"/>
      <c r="AB2" s="28"/>
      <c r="AC2" s="28"/>
      <c r="AD2" s="28"/>
      <c r="AE2" s="28"/>
    </row>
    <row r="3">
      <c r="A3" s="13" t="s">
        <v>11</v>
      </c>
      <c r="B3" s="13" t="s">
        <v>625</v>
      </c>
      <c r="C3" s="13" t="s">
        <v>433</v>
      </c>
      <c r="D3" s="13" t="s">
        <v>260</v>
      </c>
      <c r="E3" s="13" t="s">
        <v>129</v>
      </c>
      <c r="G3" s="12" t="s">
        <v>626</v>
      </c>
      <c r="H3" s="13" t="s">
        <v>204</v>
      </c>
      <c r="I3" s="13" t="s">
        <v>204</v>
      </c>
      <c r="J3" s="13" t="s">
        <v>627</v>
      </c>
      <c r="K3" s="24">
        <v>0.05</v>
      </c>
      <c r="L3" s="42">
        <v>45413.0</v>
      </c>
    </row>
    <row r="4">
      <c r="K4" s="64"/>
    </row>
    <row r="5">
      <c r="K5" s="64"/>
    </row>
    <row r="6">
      <c r="K6" s="64"/>
    </row>
    <row r="7">
      <c r="K7" s="64"/>
    </row>
    <row r="8">
      <c r="K8" s="64"/>
    </row>
    <row r="9">
      <c r="K9" s="64"/>
    </row>
    <row r="10">
      <c r="K10" s="64"/>
    </row>
    <row r="11">
      <c r="K11" s="60" t="s">
        <v>199</v>
      </c>
    </row>
    <row r="12">
      <c r="K12" s="62">
        <f>SUM(K3:K9)</f>
        <v>0.05</v>
      </c>
    </row>
    <row r="13">
      <c r="B13" s="21"/>
      <c r="K13" s="64"/>
    </row>
    <row r="14">
      <c r="A14" s="96" t="s">
        <v>55</v>
      </c>
      <c r="B14" s="28"/>
      <c r="C14" s="72"/>
      <c r="D14" s="72"/>
      <c r="E14" s="72"/>
      <c r="F14" s="72"/>
      <c r="G14" s="72"/>
      <c r="H14" s="72"/>
      <c r="I14" s="72"/>
      <c r="J14" s="72"/>
      <c r="K14" s="70"/>
      <c r="L14" s="72"/>
      <c r="M14" s="72"/>
      <c r="N14" s="72"/>
      <c r="O14" s="72"/>
      <c r="P14" s="72"/>
      <c r="Q14" s="72"/>
      <c r="R14" s="72"/>
      <c r="S14" s="72"/>
      <c r="T14" s="72"/>
      <c r="U14" s="72"/>
      <c r="V14" s="72"/>
      <c r="W14" s="72"/>
      <c r="X14" s="72"/>
      <c r="Y14" s="72"/>
      <c r="Z14" s="72"/>
      <c r="AA14" s="72"/>
      <c r="AB14" s="72"/>
      <c r="AC14" s="72"/>
      <c r="AD14" s="72"/>
      <c r="AE14" s="72"/>
    </row>
    <row r="15">
      <c r="A15" s="13" t="s">
        <v>6</v>
      </c>
      <c r="B15" s="13" t="s">
        <v>628</v>
      </c>
      <c r="K15" s="64"/>
    </row>
    <row r="16">
      <c r="K16" s="64"/>
    </row>
    <row r="17">
      <c r="K17" s="64"/>
    </row>
    <row r="18">
      <c r="K18" s="64"/>
    </row>
    <row r="19">
      <c r="K19" s="64"/>
    </row>
    <row r="20">
      <c r="K20" s="64"/>
    </row>
    <row r="21">
      <c r="K21" s="64"/>
    </row>
    <row r="22">
      <c r="K22" s="64"/>
    </row>
    <row r="23">
      <c r="K23" s="64"/>
    </row>
    <row r="24">
      <c r="K24" s="64"/>
    </row>
    <row r="25">
      <c r="K25" s="64"/>
    </row>
    <row r="26">
      <c r="K26" s="64"/>
    </row>
    <row r="27">
      <c r="K27" s="64"/>
    </row>
    <row r="28">
      <c r="K28" s="64"/>
    </row>
    <row r="29">
      <c r="K29" s="64"/>
    </row>
    <row r="30">
      <c r="K30" s="64"/>
    </row>
    <row r="31">
      <c r="K31" s="64"/>
    </row>
    <row r="32">
      <c r="K32" s="64"/>
    </row>
    <row r="33">
      <c r="K33" s="64"/>
    </row>
    <row r="34">
      <c r="K34" s="64"/>
    </row>
    <row r="35">
      <c r="K35" s="64"/>
    </row>
    <row r="36">
      <c r="K36" s="64"/>
    </row>
    <row r="37">
      <c r="K37" s="64"/>
    </row>
    <row r="38">
      <c r="K38" s="64"/>
    </row>
    <row r="39">
      <c r="K39" s="64"/>
    </row>
    <row r="40">
      <c r="K40" s="64"/>
    </row>
    <row r="41">
      <c r="K41" s="64"/>
    </row>
    <row r="42">
      <c r="K42" s="64"/>
    </row>
    <row r="43">
      <c r="K43" s="64"/>
    </row>
    <row r="44">
      <c r="K44" s="64"/>
    </row>
    <row r="45">
      <c r="K45" s="64"/>
    </row>
    <row r="46">
      <c r="K46" s="64"/>
    </row>
    <row r="47">
      <c r="K47" s="64"/>
    </row>
    <row r="48">
      <c r="K48" s="64"/>
    </row>
    <row r="49">
      <c r="K49" s="64"/>
    </row>
    <row r="50">
      <c r="K50" s="64"/>
    </row>
    <row r="51">
      <c r="K51" s="64"/>
    </row>
    <row r="52">
      <c r="K52" s="64"/>
    </row>
    <row r="53">
      <c r="K53" s="64"/>
    </row>
    <row r="54">
      <c r="K54" s="64"/>
    </row>
    <row r="55">
      <c r="K55" s="64"/>
    </row>
    <row r="56">
      <c r="K56" s="64"/>
    </row>
    <row r="57">
      <c r="K57" s="64"/>
    </row>
    <row r="58">
      <c r="K58" s="64"/>
    </row>
    <row r="59">
      <c r="K59" s="64"/>
    </row>
    <row r="60">
      <c r="K60" s="64"/>
    </row>
    <row r="61">
      <c r="K61" s="64"/>
    </row>
    <row r="62">
      <c r="K62" s="64"/>
    </row>
    <row r="63">
      <c r="K63" s="64"/>
    </row>
    <row r="64">
      <c r="K64" s="64"/>
    </row>
    <row r="65">
      <c r="K65" s="64"/>
    </row>
    <row r="66">
      <c r="K66" s="64"/>
    </row>
    <row r="67">
      <c r="K67" s="64"/>
    </row>
    <row r="68">
      <c r="K68" s="64"/>
    </row>
    <row r="69">
      <c r="K69" s="64"/>
    </row>
    <row r="70">
      <c r="K70" s="64"/>
    </row>
    <row r="71">
      <c r="K71" s="64"/>
    </row>
    <row r="72">
      <c r="K72" s="64"/>
    </row>
    <row r="73">
      <c r="K73" s="64"/>
    </row>
    <row r="74">
      <c r="K74" s="64"/>
    </row>
    <row r="75">
      <c r="K75" s="64"/>
    </row>
    <row r="76">
      <c r="K76" s="64"/>
    </row>
    <row r="77">
      <c r="K77" s="64"/>
    </row>
    <row r="78">
      <c r="K78" s="64"/>
    </row>
    <row r="79">
      <c r="K79" s="64"/>
    </row>
    <row r="80">
      <c r="K80" s="64"/>
    </row>
    <row r="81">
      <c r="K81" s="64"/>
    </row>
    <row r="82">
      <c r="K82" s="64"/>
    </row>
    <row r="83">
      <c r="K83" s="64"/>
    </row>
    <row r="84">
      <c r="K84" s="64"/>
    </row>
    <row r="85">
      <c r="K85" s="64"/>
    </row>
    <row r="86">
      <c r="K86" s="64"/>
    </row>
    <row r="87">
      <c r="K87" s="64"/>
    </row>
    <row r="88">
      <c r="K88" s="64"/>
    </row>
    <row r="89">
      <c r="K89" s="64"/>
    </row>
    <row r="90">
      <c r="K90" s="64"/>
    </row>
    <row r="91">
      <c r="K91" s="64"/>
    </row>
    <row r="92">
      <c r="K92" s="64"/>
    </row>
    <row r="93">
      <c r="K93" s="64"/>
    </row>
    <row r="94">
      <c r="K94" s="64"/>
    </row>
    <row r="95">
      <c r="K95" s="64"/>
    </row>
    <row r="96">
      <c r="K96" s="64"/>
    </row>
    <row r="97">
      <c r="K97" s="64"/>
    </row>
    <row r="98">
      <c r="K98" s="64"/>
    </row>
    <row r="99">
      <c r="K99" s="64"/>
    </row>
    <row r="100">
      <c r="K100" s="64"/>
    </row>
    <row r="101">
      <c r="K101" s="64"/>
    </row>
    <row r="102">
      <c r="K102" s="64"/>
    </row>
    <row r="103">
      <c r="K103" s="64"/>
    </row>
    <row r="104">
      <c r="K104" s="64"/>
    </row>
    <row r="105">
      <c r="K105" s="64"/>
    </row>
    <row r="106">
      <c r="K106" s="64"/>
    </row>
    <row r="107">
      <c r="K107" s="64"/>
    </row>
    <row r="108">
      <c r="K108" s="64"/>
    </row>
    <row r="109">
      <c r="K109" s="64"/>
    </row>
    <row r="110">
      <c r="K110" s="64"/>
    </row>
    <row r="111">
      <c r="K111" s="64"/>
    </row>
    <row r="112">
      <c r="K112" s="64"/>
    </row>
    <row r="113">
      <c r="K113" s="64"/>
    </row>
    <row r="114">
      <c r="K114" s="64"/>
    </row>
    <row r="115">
      <c r="K115" s="64"/>
    </row>
    <row r="116">
      <c r="K116" s="64"/>
    </row>
    <row r="117">
      <c r="K117" s="64"/>
    </row>
    <row r="118">
      <c r="K118" s="64"/>
    </row>
    <row r="119">
      <c r="K119" s="64"/>
    </row>
    <row r="120">
      <c r="K120" s="64"/>
    </row>
    <row r="121">
      <c r="K121" s="64"/>
    </row>
    <row r="122">
      <c r="K122" s="64"/>
    </row>
    <row r="123">
      <c r="K123" s="64"/>
    </row>
    <row r="124">
      <c r="K124" s="64"/>
    </row>
    <row r="125">
      <c r="K125" s="64"/>
    </row>
    <row r="126">
      <c r="K126" s="64"/>
    </row>
    <row r="127">
      <c r="K127" s="64"/>
    </row>
    <row r="128">
      <c r="K128" s="64"/>
    </row>
    <row r="129">
      <c r="K129" s="64"/>
    </row>
    <row r="130">
      <c r="K130" s="64"/>
    </row>
    <row r="131">
      <c r="K131" s="64"/>
    </row>
    <row r="132">
      <c r="K132" s="64"/>
    </row>
    <row r="133">
      <c r="K133" s="64"/>
    </row>
    <row r="134">
      <c r="K134" s="64"/>
    </row>
    <row r="135">
      <c r="K135" s="64"/>
    </row>
    <row r="136">
      <c r="K136" s="64"/>
    </row>
    <row r="137">
      <c r="K137" s="64"/>
    </row>
    <row r="138">
      <c r="K138" s="64"/>
    </row>
    <row r="139">
      <c r="K139" s="64"/>
    </row>
    <row r="140">
      <c r="K140" s="64"/>
    </row>
    <row r="141">
      <c r="K141" s="64"/>
    </row>
    <row r="142">
      <c r="K142" s="64"/>
    </row>
    <row r="143">
      <c r="K143" s="64"/>
    </row>
    <row r="144">
      <c r="K144" s="64"/>
    </row>
    <row r="145">
      <c r="K145" s="64"/>
    </row>
    <row r="146">
      <c r="K146" s="64"/>
    </row>
    <row r="147">
      <c r="K147" s="64"/>
    </row>
    <row r="148">
      <c r="K148" s="64"/>
    </row>
    <row r="149">
      <c r="K149" s="64"/>
    </row>
    <row r="150">
      <c r="K150" s="64"/>
    </row>
    <row r="151">
      <c r="K151" s="64"/>
    </row>
    <row r="152">
      <c r="K152" s="64"/>
    </row>
    <row r="153">
      <c r="K153" s="64"/>
    </row>
    <row r="154">
      <c r="K154" s="64"/>
    </row>
    <row r="155">
      <c r="K155" s="64"/>
    </row>
    <row r="156">
      <c r="K156" s="64"/>
    </row>
    <row r="157">
      <c r="K157" s="64"/>
    </row>
    <row r="158">
      <c r="K158" s="64"/>
    </row>
    <row r="159">
      <c r="K159" s="64"/>
    </row>
    <row r="160">
      <c r="K160" s="64"/>
    </row>
    <row r="161">
      <c r="K161" s="64"/>
    </row>
    <row r="162">
      <c r="K162" s="64"/>
    </row>
    <row r="163">
      <c r="K163" s="64"/>
    </row>
    <row r="164">
      <c r="K164" s="64"/>
    </row>
    <row r="165">
      <c r="K165" s="64"/>
    </row>
    <row r="166">
      <c r="K166" s="64"/>
    </row>
    <row r="167">
      <c r="K167" s="64"/>
    </row>
    <row r="168">
      <c r="K168" s="64"/>
    </row>
    <row r="169">
      <c r="K169" s="64"/>
    </row>
    <row r="170">
      <c r="K170" s="64"/>
    </row>
    <row r="171">
      <c r="K171" s="64"/>
    </row>
    <row r="172">
      <c r="K172" s="64"/>
    </row>
    <row r="173">
      <c r="K173" s="64"/>
    </row>
    <row r="174">
      <c r="K174" s="64"/>
    </row>
    <row r="175">
      <c r="K175" s="64"/>
    </row>
    <row r="176">
      <c r="K176" s="64"/>
    </row>
    <row r="177">
      <c r="K177" s="64"/>
    </row>
    <row r="178">
      <c r="K178" s="64"/>
    </row>
    <row r="179">
      <c r="K179" s="64"/>
    </row>
    <row r="180">
      <c r="K180" s="64"/>
    </row>
    <row r="181">
      <c r="K181" s="64"/>
    </row>
    <row r="182">
      <c r="K182" s="64"/>
    </row>
    <row r="183">
      <c r="K183" s="64"/>
    </row>
    <row r="184">
      <c r="K184" s="64"/>
    </row>
    <row r="185">
      <c r="K185" s="64"/>
    </row>
    <row r="186">
      <c r="K186" s="64"/>
    </row>
    <row r="187">
      <c r="K187" s="64"/>
    </row>
    <row r="188">
      <c r="K188" s="64"/>
    </row>
    <row r="189">
      <c r="K189" s="64"/>
    </row>
    <row r="190">
      <c r="K190" s="64"/>
    </row>
    <row r="191">
      <c r="K191" s="64"/>
    </row>
    <row r="192">
      <c r="K192" s="64"/>
    </row>
    <row r="193">
      <c r="K193" s="64"/>
    </row>
    <row r="194">
      <c r="K194" s="64"/>
    </row>
    <row r="195">
      <c r="K195" s="64"/>
    </row>
    <row r="196">
      <c r="K196" s="64"/>
    </row>
    <row r="197">
      <c r="K197" s="64"/>
    </row>
    <row r="198">
      <c r="K198" s="64"/>
    </row>
    <row r="199">
      <c r="K199" s="64"/>
    </row>
    <row r="200">
      <c r="K200" s="64"/>
    </row>
    <row r="201">
      <c r="K201" s="64"/>
    </row>
    <row r="202">
      <c r="K202" s="64"/>
    </row>
    <row r="203">
      <c r="K203" s="64"/>
    </row>
    <row r="204">
      <c r="K204" s="64"/>
    </row>
    <row r="205">
      <c r="K205" s="64"/>
    </row>
    <row r="206">
      <c r="K206" s="64"/>
    </row>
    <row r="207">
      <c r="K207" s="64"/>
    </row>
    <row r="208">
      <c r="K208" s="64"/>
    </row>
    <row r="209">
      <c r="K209" s="64"/>
    </row>
    <row r="210">
      <c r="K210" s="64"/>
    </row>
    <row r="211">
      <c r="K211" s="64"/>
    </row>
    <row r="212">
      <c r="K212" s="64"/>
    </row>
    <row r="213">
      <c r="K213" s="64"/>
    </row>
    <row r="214">
      <c r="K214" s="64"/>
    </row>
    <row r="215">
      <c r="K215" s="64"/>
    </row>
    <row r="216">
      <c r="K216" s="64"/>
    </row>
    <row r="217">
      <c r="K217" s="64"/>
    </row>
    <row r="218">
      <c r="K218" s="64"/>
    </row>
    <row r="219">
      <c r="K219" s="64"/>
    </row>
    <row r="220">
      <c r="K220" s="64"/>
    </row>
    <row r="221">
      <c r="K221" s="64"/>
    </row>
    <row r="222">
      <c r="K222" s="64"/>
    </row>
    <row r="223">
      <c r="K223" s="64"/>
    </row>
    <row r="224">
      <c r="K224" s="64"/>
    </row>
    <row r="225">
      <c r="K225" s="64"/>
    </row>
    <row r="226">
      <c r="K226" s="64"/>
    </row>
    <row r="227">
      <c r="K227" s="64"/>
    </row>
    <row r="228">
      <c r="K228" s="64"/>
    </row>
    <row r="229">
      <c r="K229" s="64"/>
    </row>
    <row r="230">
      <c r="K230" s="64"/>
    </row>
    <row r="231">
      <c r="K231" s="64"/>
    </row>
    <row r="232">
      <c r="K232" s="64"/>
    </row>
    <row r="233">
      <c r="K233" s="64"/>
    </row>
    <row r="234">
      <c r="K234" s="64"/>
    </row>
    <row r="235">
      <c r="K235" s="64"/>
    </row>
    <row r="236">
      <c r="K236" s="64"/>
    </row>
    <row r="237">
      <c r="K237" s="64"/>
    </row>
    <row r="238">
      <c r="K238" s="64"/>
    </row>
    <row r="239">
      <c r="K239" s="64"/>
    </row>
    <row r="240">
      <c r="K240" s="64"/>
    </row>
    <row r="241">
      <c r="K241" s="64"/>
    </row>
    <row r="242">
      <c r="K242" s="64"/>
    </row>
    <row r="243">
      <c r="K243" s="64"/>
    </row>
    <row r="244">
      <c r="K244" s="64"/>
    </row>
    <row r="245">
      <c r="K245" s="64"/>
    </row>
    <row r="246">
      <c r="K246" s="64"/>
    </row>
    <row r="247">
      <c r="K247" s="64"/>
    </row>
    <row r="248">
      <c r="K248" s="64"/>
    </row>
    <row r="249">
      <c r="K249" s="64"/>
    </row>
    <row r="250">
      <c r="K250" s="64"/>
    </row>
    <row r="251">
      <c r="K251" s="64"/>
    </row>
    <row r="252">
      <c r="K252" s="64"/>
    </row>
    <row r="253">
      <c r="K253" s="64"/>
    </row>
    <row r="254">
      <c r="K254" s="64"/>
    </row>
    <row r="255">
      <c r="K255" s="64"/>
    </row>
    <row r="256">
      <c r="K256" s="64"/>
    </row>
    <row r="257">
      <c r="K257" s="64"/>
    </row>
    <row r="258">
      <c r="K258" s="64"/>
    </row>
    <row r="259">
      <c r="K259" s="64"/>
    </row>
    <row r="260">
      <c r="K260" s="64"/>
    </row>
    <row r="261">
      <c r="K261" s="64"/>
    </row>
    <row r="262">
      <c r="K262" s="64"/>
    </row>
    <row r="263">
      <c r="K263" s="64"/>
    </row>
    <row r="264">
      <c r="K264" s="64"/>
    </row>
    <row r="265">
      <c r="K265" s="64"/>
    </row>
    <row r="266">
      <c r="K266" s="64"/>
    </row>
    <row r="267">
      <c r="K267" s="64"/>
    </row>
    <row r="268">
      <c r="K268" s="64"/>
    </row>
    <row r="269">
      <c r="K269" s="64"/>
    </row>
    <row r="270">
      <c r="K270" s="64"/>
    </row>
    <row r="271">
      <c r="K271" s="64"/>
    </row>
    <row r="272">
      <c r="K272" s="64"/>
    </row>
    <row r="273">
      <c r="K273" s="64"/>
    </row>
    <row r="274">
      <c r="K274" s="64"/>
    </row>
    <row r="275">
      <c r="K275" s="64"/>
    </row>
    <row r="276">
      <c r="K276" s="64"/>
    </row>
    <row r="277">
      <c r="K277" s="64"/>
    </row>
    <row r="278">
      <c r="K278" s="64"/>
    </row>
    <row r="279">
      <c r="K279" s="64"/>
    </row>
    <row r="280">
      <c r="K280" s="64"/>
    </row>
    <row r="281">
      <c r="K281" s="64"/>
    </row>
    <row r="282">
      <c r="K282" s="64"/>
    </row>
    <row r="283">
      <c r="K283" s="64"/>
    </row>
    <row r="284">
      <c r="K284" s="64"/>
    </row>
    <row r="285">
      <c r="K285" s="64"/>
    </row>
    <row r="286">
      <c r="K286" s="64"/>
    </row>
    <row r="287">
      <c r="K287" s="64"/>
    </row>
    <row r="288">
      <c r="K288" s="64"/>
    </row>
    <row r="289">
      <c r="K289" s="64"/>
    </row>
    <row r="290">
      <c r="K290" s="64"/>
    </row>
    <row r="291">
      <c r="K291" s="64"/>
    </row>
    <row r="292">
      <c r="K292" s="64"/>
    </row>
    <row r="293">
      <c r="K293" s="64"/>
    </row>
    <row r="294">
      <c r="K294" s="64"/>
    </row>
    <row r="295">
      <c r="K295" s="64"/>
    </row>
    <row r="296">
      <c r="K296" s="64"/>
    </row>
    <row r="297">
      <c r="K297" s="64"/>
    </row>
    <row r="298">
      <c r="K298" s="64"/>
    </row>
    <row r="299">
      <c r="K299" s="64"/>
    </row>
    <row r="300">
      <c r="K300" s="64"/>
    </row>
    <row r="301">
      <c r="K301" s="64"/>
    </row>
    <row r="302">
      <c r="K302" s="64"/>
    </row>
    <row r="303">
      <c r="K303" s="64"/>
    </row>
    <row r="304">
      <c r="K304" s="64"/>
    </row>
    <row r="305">
      <c r="K305" s="64"/>
    </row>
    <row r="306">
      <c r="K306" s="64"/>
    </row>
    <row r="307">
      <c r="K307" s="64"/>
    </row>
    <row r="308">
      <c r="K308" s="64"/>
    </row>
    <row r="309">
      <c r="K309" s="64"/>
    </row>
    <row r="310">
      <c r="K310" s="64"/>
    </row>
    <row r="311">
      <c r="K311" s="64"/>
    </row>
    <row r="312">
      <c r="K312" s="64"/>
    </row>
    <row r="313">
      <c r="K313" s="64"/>
    </row>
    <row r="314">
      <c r="K314" s="64"/>
    </row>
    <row r="315">
      <c r="K315" s="64"/>
    </row>
    <row r="316">
      <c r="K316" s="64"/>
    </row>
    <row r="317">
      <c r="K317" s="64"/>
    </row>
    <row r="318">
      <c r="K318" s="64"/>
    </row>
    <row r="319">
      <c r="K319" s="64"/>
    </row>
    <row r="320">
      <c r="K320" s="64"/>
    </row>
    <row r="321">
      <c r="K321" s="64"/>
    </row>
    <row r="322">
      <c r="K322" s="64"/>
    </row>
    <row r="323">
      <c r="K323" s="64"/>
    </row>
    <row r="324">
      <c r="K324" s="64"/>
    </row>
    <row r="325">
      <c r="K325" s="64"/>
    </row>
    <row r="326">
      <c r="K326" s="64"/>
    </row>
    <row r="327">
      <c r="K327" s="64"/>
    </row>
    <row r="328">
      <c r="K328" s="64"/>
    </row>
    <row r="329">
      <c r="K329" s="64"/>
    </row>
    <row r="330">
      <c r="K330" s="64"/>
    </row>
    <row r="331">
      <c r="K331" s="64"/>
    </row>
    <row r="332">
      <c r="K332" s="64"/>
    </row>
    <row r="333">
      <c r="K333" s="64"/>
    </row>
    <row r="334">
      <c r="K334" s="64"/>
    </row>
    <row r="335">
      <c r="K335" s="64"/>
    </row>
    <row r="336">
      <c r="K336" s="64"/>
    </row>
    <row r="337">
      <c r="K337" s="64"/>
    </row>
    <row r="338">
      <c r="K338" s="64"/>
    </row>
    <row r="339">
      <c r="K339" s="64"/>
    </row>
    <row r="340">
      <c r="K340" s="64"/>
    </row>
    <row r="341">
      <c r="K341" s="64"/>
    </row>
    <row r="342">
      <c r="K342" s="64"/>
    </row>
    <row r="343">
      <c r="K343" s="64"/>
    </row>
    <row r="344">
      <c r="K344" s="64"/>
    </row>
    <row r="345">
      <c r="K345" s="64"/>
    </row>
    <row r="346">
      <c r="K346" s="64"/>
    </row>
    <row r="347">
      <c r="K347" s="64"/>
    </row>
    <row r="348">
      <c r="K348" s="64"/>
    </row>
    <row r="349">
      <c r="K349" s="64"/>
    </row>
    <row r="350">
      <c r="K350" s="64"/>
    </row>
    <row r="351">
      <c r="K351" s="64"/>
    </row>
    <row r="352">
      <c r="K352" s="64"/>
    </row>
    <row r="353">
      <c r="K353" s="64"/>
    </row>
    <row r="354">
      <c r="K354" s="64"/>
    </row>
    <row r="355">
      <c r="K355" s="64"/>
    </row>
    <row r="356">
      <c r="K356" s="64"/>
    </row>
    <row r="357">
      <c r="K357" s="64"/>
    </row>
    <row r="358">
      <c r="K358" s="64"/>
    </row>
    <row r="359">
      <c r="K359" s="64"/>
    </row>
    <row r="360">
      <c r="K360" s="64"/>
    </row>
    <row r="361">
      <c r="K361" s="64"/>
    </row>
    <row r="362">
      <c r="K362" s="64"/>
    </row>
    <row r="363">
      <c r="K363" s="64"/>
    </row>
    <row r="364">
      <c r="K364" s="64"/>
    </row>
    <row r="365">
      <c r="K365" s="64"/>
    </row>
    <row r="366">
      <c r="K366" s="64"/>
    </row>
    <row r="367">
      <c r="K367" s="64"/>
    </row>
    <row r="368">
      <c r="K368" s="64"/>
    </row>
    <row r="369">
      <c r="K369" s="64"/>
    </row>
    <row r="370">
      <c r="K370" s="64"/>
    </row>
    <row r="371">
      <c r="K371" s="64"/>
    </row>
    <row r="372">
      <c r="K372" s="64"/>
    </row>
    <row r="373">
      <c r="K373" s="64"/>
    </row>
    <row r="374">
      <c r="K374" s="64"/>
    </row>
    <row r="375">
      <c r="K375" s="64"/>
    </row>
    <row r="376">
      <c r="K376" s="64"/>
    </row>
    <row r="377">
      <c r="K377" s="64"/>
    </row>
    <row r="378">
      <c r="K378" s="64"/>
    </row>
    <row r="379">
      <c r="K379" s="64"/>
    </row>
    <row r="380">
      <c r="K380" s="64"/>
    </row>
    <row r="381">
      <c r="K381" s="64"/>
    </row>
    <row r="382">
      <c r="K382" s="64"/>
    </row>
    <row r="383">
      <c r="K383" s="64"/>
    </row>
    <row r="384">
      <c r="K384" s="64"/>
    </row>
    <row r="385">
      <c r="K385" s="64"/>
    </row>
    <row r="386">
      <c r="K386" s="64"/>
    </row>
    <row r="387">
      <c r="K387" s="64"/>
    </row>
    <row r="388">
      <c r="K388" s="64"/>
    </row>
    <row r="389">
      <c r="K389" s="64"/>
    </row>
    <row r="390">
      <c r="K390" s="64"/>
    </row>
    <row r="391">
      <c r="K391" s="64"/>
    </row>
    <row r="392">
      <c r="K392" s="64"/>
    </row>
    <row r="393">
      <c r="K393" s="64"/>
    </row>
    <row r="394">
      <c r="K394" s="64"/>
    </row>
    <row r="395">
      <c r="K395" s="64"/>
    </row>
    <row r="396">
      <c r="K396" s="64"/>
    </row>
    <row r="397">
      <c r="K397" s="64"/>
    </row>
    <row r="398">
      <c r="K398" s="64"/>
    </row>
    <row r="399">
      <c r="K399" s="64"/>
    </row>
    <row r="400">
      <c r="K400" s="64"/>
    </row>
    <row r="401">
      <c r="K401" s="64"/>
    </row>
    <row r="402">
      <c r="K402" s="64"/>
    </row>
    <row r="403">
      <c r="K403" s="64"/>
    </row>
    <row r="404">
      <c r="K404" s="64"/>
    </row>
    <row r="405">
      <c r="K405" s="64"/>
    </row>
    <row r="406">
      <c r="K406" s="64"/>
    </row>
    <row r="407">
      <c r="K407" s="64"/>
    </row>
    <row r="408">
      <c r="K408" s="64"/>
    </row>
    <row r="409">
      <c r="K409" s="64"/>
    </row>
    <row r="410">
      <c r="K410" s="64"/>
    </row>
    <row r="411">
      <c r="K411" s="64"/>
    </row>
    <row r="412">
      <c r="K412" s="64"/>
    </row>
    <row r="413">
      <c r="K413" s="64"/>
    </row>
    <row r="414">
      <c r="K414" s="64"/>
    </row>
    <row r="415">
      <c r="K415" s="64"/>
    </row>
    <row r="416">
      <c r="K416" s="64"/>
    </row>
    <row r="417">
      <c r="K417" s="64"/>
    </row>
    <row r="418">
      <c r="K418" s="64"/>
    </row>
    <row r="419">
      <c r="K419" s="64"/>
    </row>
    <row r="420">
      <c r="K420" s="64"/>
    </row>
    <row r="421">
      <c r="K421" s="64"/>
    </row>
    <row r="422">
      <c r="K422" s="64"/>
    </row>
    <row r="423">
      <c r="K423" s="64"/>
    </row>
    <row r="424">
      <c r="K424" s="64"/>
    </row>
    <row r="425">
      <c r="K425" s="64"/>
    </row>
    <row r="426">
      <c r="K426" s="64"/>
    </row>
    <row r="427">
      <c r="K427" s="64"/>
    </row>
    <row r="428">
      <c r="K428" s="64"/>
    </row>
    <row r="429">
      <c r="K429" s="64"/>
    </row>
    <row r="430">
      <c r="K430" s="64"/>
    </row>
    <row r="431">
      <c r="K431" s="64"/>
    </row>
    <row r="432">
      <c r="K432" s="64"/>
    </row>
    <row r="433">
      <c r="K433" s="64"/>
    </row>
    <row r="434">
      <c r="K434" s="64"/>
    </row>
    <row r="435">
      <c r="K435" s="64"/>
    </row>
    <row r="436">
      <c r="K436" s="64"/>
    </row>
    <row r="437">
      <c r="K437" s="64"/>
    </row>
    <row r="438">
      <c r="K438" s="64"/>
    </row>
    <row r="439">
      <c r="K439" s="64"/>
    </row>
    <row r="440">
      <c r="K440" s="64"/>
    </row>
    <row r="441">
      <c r="K441" s="64"/>
    </row>
    <row r="442">
      <c r="K442" s="64"/>
    </row>
    <row r="443">
      <c r="K443" s="64"/>
    </row>
    <row r="444">
      <c r="K444" s="64"/>
    </row>
    <row r="445">
      <c r="K445" s="64"/>
    </row>
    <row r="446">
      <c r="K446" s="64"/>
    </row>
    <row r="447">
      <c r="K447" s="64"/>
    </row>
    <row r="448">
      <c r="K448" s="64"/>
    </row>
    <row r="449">
      <c r="K449" s="64"/>
    </row>
    <row r="450">
      <c r="K450" s="64"/>
    </row>
    <row r="451">
      <c r="K451" s="64"/>
    </row>
    <row r="452">
      <c r="K452" s="64"/>
    </row>
    <row r="453">
      <c r="K453" s="64"/>
    </row>
    <row r="454">
      <c r="K454" s="64"/>
    </row>
    <row r="455">
      <c r="K455" s="64"/>
    </row>
    <row r="456">
      <c r="K456" s="64"/>
    </row>
    <row r="457">
      <c r="K457" s="64"/>
    </row>
    <row r="458">
      <c r="K458" s="64"/>
    </row>
    <row r="459">
      <c r="K459" s="64"/>
    </row>
    <row r="460">
      <c r="K460" s="64"/>
    </row>
    <row r="461">
      <c r="K461" s="64"/>
    </row>
    <row r="462">
      <c r="K462" s="64"/>
    </row>
    <row r="463">
      <c r="K463" s="64"/>
    </row>
    <row r="464">
      <c r="K464" s="64"/>
    </row>
    <row r="465">
      <c r="K465" s="64"/>
    </row>
    <row r="466">
      <c r="K466" s="64"/>
    </row>
    <row r="467">
      <c r="K467" s="64"/>
    </row>
    <row r="468">
      <c r="K468" s="64"/>
    </row>
    <row r="469">
      <c r="K469" s="64"/>
    </row>
    <row r="470">
      <c r="K470" s="64"/>
    </row>
    <row r="471">
      <c r="K471" s="64"/>
    </row>
    <row r="472">
      <c r="K472" s="64"/>
    </row>
    <row r="473">
      <c r="K473" s="64"/>
    </row>
    <row r="474">
      <c r="K474" s="64"/>
    </row>
    <row r="475">
      <c r="K475" s="64"/>
    </row>
    <row r="476">
      <c r="K476" s="64"/>
    </row>
    <row r="477">
      <c r="K477" s="64"/>
    </row>
    <row r="478">
      <c r="K478" s="64"/>
    </row>
    <row r="479">
      <c r="K479" s="64"/>
    </row>
    <row r="480">
      <c r="K480" s="64"/>
    </row>
    <row r="481">
      <c r="K481" s="64"/>
    </row>
    <row r="482">
      <c r="K482" s="64"/>
    </row>
    <row r="483">
      <c r="K483" s="64"/>
    </row>
    <row r="484">
      <c r="K484" s="64"/>
    </row>
    <row r="485">
      <c r="K485" s="64"/>
    </row>
    <row r="486">
      <c r="K486" s="64"/>
    </row>
    <row r="487">
      <c r="K487" s="64"/>
    </row>
    <row r="488">
      <c r="K488" s="64"/>
    </row>
    <row r="489">
      <c r="K489" s="64"/>
    </row>
    <row r="490">
      <c r="K490" s="64"/>
    </row>
    <row r="491">
      <c r="K491" s="64"/>
    </row>
    <row r="492">
      <c r="K492" s="64"/>
    </row>
    <row r="493">
      <c r="K493" s="64"/>
    </row>
    <row r="494">
      <c r="K494" s="64"/>
    </row>
    <row r="495">
      <c r="K495" s="64"/>
    </row>
    <row r="496">
      <c r="K496" s="64"/>
    </row>
    <row r="497">
      <c r="K497" s="64"/>
    </row>
    <row r="498">
      <c r="K498" s="64"/>
    </row>
    <row r="499">
      <c r="K499" s="64"/>
    </row>
    <row r="500">
      <c r="K500" s="64"/>
    </row>
    <row r="501">
      <c r="K501" s="64"/>
    </row>
    <row r="502">
      <c r="K502" s="64"/>
    </row>
    <row r="503">
      <c r="K503" s="64"/>
    </row>
    <row r="504">
      <c r="K504" s="64"/>
    </row>
    <row r="505">
      <c r="K505" s="64"/>
    </row>
    <row r="506">
      <c r="K506" s="64"/>
    </row>
    <row r="507">
      <c r="K507" s="64"/>
    </row>
    <row r="508">
      <c r="K508" s="64"/>
    </row>
    <row r="509">
      <c r="K509" s="64"/>
    </row>
    <row r="510">
      <c r="K510" s="64"/>
    </row>
    <row r="511">
      <c r="K511" s="64"/>
    </row>
    <row r="512">
      <c r="K512" s="64"/>
    </row>
    <row r="513">
      <c r="K513" s="64"/>
    </row>
    <row r="514">
      <c r="K514" s="64"/>
    </row>
    <row r="515">
      <c r="K515" s="64"/>
    </row>
    <row r="516">
      <c r="K516" s="64"/>
    </row>
    <row r="517">
      <c r="K517" s="64"/>
    </row>
    <row r="518">
      <c r="K518" s="64"/>
    </row>
    <row r="519">
      <c r="K519" s="64"/>
    </row>
    <row r="520">
      <c r="K520" s="64"/>
    </row>
    <row r="521">
      <c r="K521" s="64"/>
    </row>
    <row r="522">
      <c r="K522" s="64"/>
    </row>
    <row r="523">
      <c r="K523" s="64"/>
    </row>
    <row r="524">
      <c r="K524" s="64"/>
    </row>
    <row r="525">
      <c r="K525" s="64"/>
    </row>
    <row r="526">
      <c r="K526" s="64"/>
    </row>
    <row r="527">
      <c r="K527" s="64"/>
    </row>
    <row r="528">
      <c r="K528" s="64"/>
    </row>
    <row r="529">
      <c r="K529" s="64"/>
    </row>
    <row r="530">
      <c r="K530" s="64"/>
    </row>
    <row r="531">
      <c r="K531" s="64"/>
    </row>
    <row r="532">
      <c r="K532" s="64"/>
    </row>
    <row r="533">
      <c r="K533" s="64"/>
    </row>
    <row r="534">
      <c r="K534" s="64"/>
    </row>
    <row r="535">
      <c r="K535" s="64"/>
    </row>
    <row r="536">
      <c r="K536" s="64"/>
    </row>
    <row r="537">
      <c r="K537" s="64"/>
    </row>
    <row r="538">
      <c r="K538" s="64"/>
    </row>
    <row r="539">
      <c r="K539" s="64"/>
    </row>
    <row r="540">
      <c r="K540" s="64"/>
    </row>
    <row r="541">
      <c r="K541" s="64"/>
    </row>
    <row r="542">
      <c r="K542" s="64"/>
    </row>
    <row r="543">
      <c r="K543" s="64"/>
    </row>
    <row r="544">
      <c r="K544" s="64"/>
    </row>
    <row r="545">
      <c r="K545" s="64"/>
    </row>
    <row r="546">
      <c r="K546" s="64"/>
    </row>
    <row r="547">
      <c r="K547" s="64"/>
    </row>
    <row r="548">
      <c r="K548" s="64"/>
    </row>
    <row r="549">
      <c r="K549" s="64"/>
    </row>
    <row r="550">
      <c r="K550" s="64"/>
    </row>
    <row r="551">
      <c r="K551" s="64"/>
    </row>
    <row r="552">
      <c r="K552" s="64"/>
    </row>
    <row r="553">
      <c r="K553" s="64"/>
    </row>
    <row r="554">
      <c r="K554" s="64"/>
    </row>
    <row r="555">
      <c r="K555" s="64"/>
    </row>
    <row r="556">
      <c r="K556" s="64"/>
    </row>
    <row r="557">
      <c r="K557" s="64"/>
    </row>
    <row r="558">
      <c r="K558" s="64"/>
    </row>
    <row r="559">
      <c r="K559" s="64"/>
    </row>
    <row r="560">
      <c r="K560" s="64"/>
    </row>
    <row r="561">
      <c r="K561" s="64"/>
    </row>
    <row r="562">
      <c r="K562" s="64"/>
    </row>
    <row r="563">
      <c r="K563" s="64"/>
    </row>
    <row r="564">
      <c r="K564" s="64"/>
    </row>
    <row r="565">
      <c r="K565" s="64"/>
    </row>
    <row r="566">
      <c r="K566" s="64"/>
    </row>
    <row r="567">
      <c r="K567" s="64"/>
    </row>
    <row r="568">
      <c r="K568" s="64"/>
    </row>
    <row r="569">
      <c r="K569" s="64"/>
    </row>
    <row r="570">
      <c r="K570" s="64"/>
    </row>
    <row r="571">
      <c r="K571" s="64"/>
    </row>
    <row r="572">
      <c r="K572" s="64"/>
    </row>
    <row r="573">
      <c r="K573" s="64"/>
    </row>
    <row r="574">
      <c r="K574" s="64"/>
    </row>
    <row r="575">
      <c r="K575" s="64"/>
    </row>
    <row r="576">
      <c r="K576" s="64"/>
    </row>
    <row r="577">
      <c r="K577" s="64"/>
    </row>
    <row r="578">
      <c r="K578" s="64"/>
    </row>
    <row r="579">
      <c r="K579" s="64"/>
    </row>
    <row r="580">
      <c r="K580" s="64"/>
    </row>
    <row r="581">
      <c r="K581" s="64"/>
    </row>
    <row r="582">
      <c r="K582" s="64"/>
    </row>
    <row r="583">
      <c r="K583" s="64"/>
    </row>
    <row r="584">
      <c r="K584" s="64"/>
    </row>
    <row r="585">
      <c r="K585" s="64"/>
    </row>
    <row r="586">
      <c r="K586" s="64"/>
    </row>
    <row r="587">
      <c r="K587" s="64"/>
    </row>
    <row r="588">
      <c r="K588" s="64"/>
    </row>
    <row r="589">
      <c r="K589" s="64"/>
    </row>
    <row r="590">
      <c r="K590" s="64"/>
    </row>
    <row r="591">
      <c r="K591" s="64"/>
    </row>
    <row r="592">
      <c r="K592" s="64"/>
    </row>
    <row r="593">
      <c r="K593" s="64"/>
    </row>
    <row r="594">
      <c r="K594" s="64"/>
    </row>
    <row r="595">
      <c r="K595" s="64"/>
    </row>
    <row r="596">
      <c r="K596" s="64"/>
    </row>
    <row r="597">
      <c r="K597" s="64"/>
    </row>
    <row r="598">
      <c r="K598" s="64"/>
    </row>
    <row r="599">
      <c r="K599" s="64"/>
    </row>
    <row r="600">
      <c r="K600" s="64"/>
    </row>
    <row r="601">
      <c r="K601" s="64"/>
    </row>
    <row r="602">
      <c r="K602" s="64"/>
    </row>
    <row r="603">
      <c r="K603" s="64"/>
    </row>
    <row r="604">
      <c r="K604" s="64"/>
    </row>
    <row r="605">
      <c r="K605" s="64"/>
    </row>
    <row r="606">
      <c r="K606" s="64"/>
    </row>
    <row r="607">
      <c r="K607" s="64"/>
    </row>
    <row r="608">
      <c r="K608" s="64"/>
    </row>
    <row r="609">
      <c r="K609" s="64"/>
    </row>
    <row r="610">
      <c r="K610" s="64"/>
    </row>
    <row r="611">
      <c r="K611" s="64"/>
    </row>
    <row r="612">
      <c r="K612" s="64"/>
    </row>
    <row r="613">
      <c r="K613" s="64"/>
    </row>
    <row r="614">
      <c r="K614" s="64"/>
    </row>
    <row r="615">
      <c r="K615" s="64"/>
    </row>
    <row r="616">
      <c r="K616" s="64"/>
    </row>
    <row r="617">
      <c r="K617" s="64"/>
    </row>
    <row r="618">
      <c r="K618" s="64"/>
    </row>
    <row r="619">
      <c r="K619" s="64"/>
    </row>
    <row r="620">
      <c r="K620" s="64"/>
    </row>
    <row r="621">
      <c r="K621" s="64"/>
    </row>
    <row r="622">
      <c r="K622" s="64"/>
    </row>
    <row r="623">
      <c r="K623" s="64"/>
    </row>
    <row r="624">
      <c r="K624" s="64"/>
    </row>
    <row r="625">
      <c r="K625" s="64"/>
    </row>
    <row r="626">
      <c r="K626" s="64"/>
    </row>
    <row r="627">
      <c r="K627" s="64"/>
    </row>
    <row r="628">
      <c r="K628" s="64"/>
    </row>
    <row r="629">
      <c r="K629" s="64"/>
    </row>
    <row r="630">
      <c r="K630" s="64"/>
    </row>
    <row r="631">
      <c r="K631" s="64"/>
    </row>
    <row r="632">
      <c r="K632" s="64"/>
    </row>
    <row r="633">
      <c r="K633" s="64"/>
    </row>
    <row r="634">
      <c r="K634" s="64"/>
    </row>
    <row r="635">
      <c r="K635" s="64"/>
    </row>
    <row r="636">
      <c r="K636" s="64"/>
    </row>
    <row r="637">
      <c r="K637" s="64"/>
    </row>
    <row r="638">
      <c r="K638" s="64"/>
    </row>
    <row r="639">
      <c r="K639" s="64"/>
    </row>
    <row r="640">
      <c r="K640" s="64"/>
    </row>
    <row r="641">
      <c r="K641" s="64"/>
    </row>
    <row r="642">
      <c r="K642" s="64"/>
    </row>
    <row r="643">
      <c r="K643" s="64"/>
    </row>
    <row r="644">
      <c r="K644" s="64"/>
    </row>
    <row r="645">
      <c r="K645" s="64"/>
    </row>
    <row r="646">
      <c r="K646" s="64"/>
    </row>
    <row r="647">
      <c r="K647" s="64"/>
    </row>
    <row r="648">
      <c r="K648" s="64"/>
    </row>
    <row r="649">
      <c r="K649" s="64"/>
    </row>
    <row r="650">
      <c r="K650" s="64"/>
    </row>
    <row r="651">
      <c r="K651" s="64"/>
    </row>
    <row r="652">
      <c r="K652" s="64"/>
    </row>
    <row r="653">
      <c r="K653" s="64"/>
    </row>
    <row r="654">
      <c r="K654" s="64"/>
    </row>
    <row r="655">
      <c r="K655" s="64"/>
    </row>
    <row r="656">
      <c r="K656" s="64"/>
    </row>
    <row r="657">
      <c r="K657" s="64"/>
    </row>
    <row r="658">
      <c r="K658" s="64"/>
    </row>
    <row r="659">
      <c r="K659" s="64"/>
    </row>
    <row r="660">
      <c r="K660" s="64"/>
    </row>
    <row r="661">
      <c r="K661" s="64"/>
    </row>
    <row r="662">
      <c r="K662" s="64"/>
    </row>
    <row r="663">
      <c r="K663" s="64"/>
    </row>
    <row r="664">
      <c r="K664" s="64"/>
    </row>
    <row r="665">
      <c r="K665" s="64"/>
    </row>
    <row r="666">
      <c r="K666" s="64"/>
    </row>
    <row r="667">
      <c r="K667" s="64"/>
    </row>
    <row r="668">
      <c r="K668" s="64"/>
    </row>
    <row r="669">
      <c r="K669" s="64"/>
    </row>
    <row r="670">
      <c r="K670" s="64"/>
    </row>
    <row r="671">
      <c r="K671" s="64"/>
    </row>
    <row r="672">
      <c r="K672" s="64"/>
    </row>
    <row r="673">
      <c r="K673" s="64"/>
    </row>
    <row r="674">
      <c r="K674" s="64"/>
    </row>
    <row r="675">
      <c r="K675" s="64"/>
    </row>
    <row r="676">
      <c r="K676" s="64"/>
    </row>
    <row r="677">
      <c r="K677" s="64"/>
    </row>
    <row r="678">
      <c r="K678" s="64"/>
    </row>
    <row r="679">
      <c r="K679" s="64"/>
    </row>
    <row r="680">
      <c r="K680" s="64"/>
    </row>
    <row r="681">
      <c r="K681" s="64"/>
    </row>
    <row r="682">
      <c r="K682" s="64"/>
    </row>
    <row r="683">
      <c r="K683" s="64"/>
    </row>
    <row r="684">
      <c r="K684" s="64"/>
    </row>
    <row r="685">
      <c r="K685" s="64"/>
    </row>
    <row r="686">
      <c r="K686" s="64"/>
    </row>
    <row r="687">
      <c r="K687" s="64"/>
    </row>
    <row r="688">
      <c r="K688" s="64"/>
    </row>
    <row r="689">
      <c r="K689" s="64"/>
    </row>
    <row r="690">
      <c r="K690" s="64"/>
    </row>
    <row r="691">
      <c r="K691" s="64"/>
    </row>
    <row r="692">
      <c r="K692" s="64"/>
    </row>
    <row r="693">
      <c r="K693" s="64"/>
    </row>
    <row r="694">
      <c r="K694" s="64"/>
    </row>
    <row r="695">
      <c r="K695" s="64"/>
    </row>
    <row r="696">
      <c r="K696" s="64"/>
    </row>
    <row r="697">
      <c r="K697" s="64"/>
    </row>
    <row r="698">
      <c r="K698" s="64"/>
    </row>
    <row r="699">
      <c r="K699" s="64"/>
    </row>
    <row r="700">
      <c r="K700" s="64"/>
    </row>
    <row r="701">
      <c r="K701" s="64"/>
    </row>
    <row r="702">
      <c r="K702" s="64"/>
    </row>
    <row r="703">
      <c r="K703" s="64"/>
    </row>
    <row r="704">
      <c r="K704" s="64"/>
    </row>
    <row r="705">
      <c r="K705" s="64"/>
    </row>
    <row r="706">
      <c r="K706" s="64"/>
    </row>
    <row r="707">
      <c r="K707" s="64"/>
    </row>
    <row r="708">
      <c r="K708" s="64"/>
    </row>
    <row r="709">
      <c r="K709" s="64"/>
    </row>
    <row r="710">
      <c r="K710" s="64"/>
    </row>
    <row r="711">
      <c r="K711" s="64"/>
    </row>
    <row r="712">
      <c r="K712" s="64"/>
    </row>
    <row r="713">
      <c r="K713" s="64"/>
    </row>
    <row r="714">
      <c r="K714" s="64"/>
    </row>
    <row r="715">
      <c r="K715" s="64"/>
    </row>
    <row r="716">
      <c r="K716" s="64"/>
    </row>
    <row r="717">
      <c r="K717" s="64"/>
    </row>
    <row r="718">
      <c r="K718" s="64"/>
    </row>
    <row r="719">
      <c r="K719" s="64"/>
    </row>
    <row r="720">
      <c r="K720" s="64"/>
    </row>
    <row r="721">
      <c r="K721" s="64"/>
    </row>
    <row r="722">
      <c r="K722" s="64"/>
    </row>
    <row r="723">
      <c r="K723" s="64"/>
    </row>
    <row r="724">
      <c r="K724" s="64"/>
    </row>
    <row r="725">
      <c r="K725" s="64"/>
    </row>
    <row r="726">
      <c r="K726" s="64"/>
    </row>
    <row r="727">
      <c r="K727" s="64"/>
    </row>
    <row r="728">
      <c r="K728" s="64"/>
    </row>
    <row r="729">
      <c r="K729" s="64"/>
    </row>
    <row r="730">
      <c r="K730" s="64"/>
    </row>
    <row r="731">
      <c r="K731" s="64"/>
    </row>
    <row r="732">
      <c r="K732" s="64"/>
    </row>
    <row r="733">
      <c r="K733" s="64"/>
    </row>
    <row r="734">
      <c r="K734" s="64"/>
    </row>
    <row r="735">
      <c r="K735" s="64"/>
    </row>
    <row r="736">
      <c r="K736" s="64"/>
    </row>
    <row r="737">
      <c r="K737" s="64"/>
    </row>
    <row r="738">
      <c r="K738" s="64"/>
    </row>
    <row r="739">
      <c r="K739" s="64"/>
    </row>
    <row r="740">
      <c r="K740" s="64"/>
    </row>
    <row r="741">
      <c r="K741" s="64"/>
    </row>
    <row r="742">
      <c r="K742" s="64"/>
    </row>
    <row r="743">
      <c r="K743" s="64"/>
    </row>
    <row r="744">
      <c r="K744" s="64"/>
    </row>
    <row r="745">
      <c r="K745" s="64"/>
    </row>
    <row r="746">
      <c r="K746" s="64"/>
    </row>
    <row r="747">
      <c r="K747" s="64"/>
    </row>
    <row r="748">
      <c r="K748" s="64"/>
    </row>
    <row r="749">
      <c r="K749" s="64"/>
    </row>
    <row r="750">
      <c r="K750" s="64"/>
    </row>
    <row r="751">
      <c r="K751" s="64"/>
    </row>
    <row r="752">
      <c r="K752" s="64"/>
    </row>
    <row r="753">
      <c r="K753" s="64"/>
    </row>
    <row r="754">
      <c r="K754" s="64"/>
    </row>
    <row r="755">
      <c r="K755" s="64"/>
    </row>
    <row r="756">
      <c r="K756" s="64"/>
    </row>
    <row r="757">
      <c r="K757" s="64"/>
    </row>
    <row r="758">
      <c r="K758" s="64"/>
    </row>
    <row r="759">
      <c r="K759" s="64"/>
    </row>
    <row r="760">
      <c r="K760" s="64"/>
    </row>
    <row r="761">
      <c r="K761" s="64"/>
    </row>
    <row r="762">
      <c r="K762" s="64"/>
    </row>
    <row r="763">
      <c r="K763" s="64"/>
    </row>
    <row r="764">
      <c r="K764" s="64"/>
    </row>
    <row r="765">
      <c r="K765" s="64"/>
    </row>
    <row r="766">
      <c r="K766" s="64"/>
    </row>
    <row r="767">
      <c r="K767" s="64"/>
    </row>
    <row r="768">
      <c r="K768" s="64"/>
    </row>
    <row r="769">
      <c r="K769" s="64"/>
    </row>
    <row r="770">
      <c r="K770" s="64"/>
    </row>
    <row r="771">
      <c r="K771" s="64"/>
    </row>
    <row r="772">
      <c r="K772" s="64"/>
    </row>
    <row r="773">
      <c r="K773" s="64"/>
    </row>
    <row r="774">
      <c r="K774" s="64"/>
    </row>
    <row r="775">
      <c r="K775" s="64"/>
    </row>
    <row r="776">
      <c r="K776" s="64"/>
    </row>
    <row r="777">
      <c r="K777" s="64"/>
    </row>
    <row r="778">
      <c r="K778" s="64"/>
    </row>
    <row r="779">
      <c r="K779" s="64"/>
    </row>
    <row r="780">
      <c r="K780" s="64"/>
    </row>
    <row r="781">
      <c r="K781" s="64"/>
    </row>
    <row r="782">
      <c r="K782" s="64"/>
    </row>
    <row r="783">
      <c r="K783" s="64"/>
    </row>
    <row r="784">
      <c r="K784" s="64"/>
    </row>
    <row r="785">
      <c r="K785" s="64"/>
    </row>
    <row r="786">
      <c r="K786" s="64"/>
    </row>
    <row r="787">
      <c r="K787" s="64"/>
    </row>
    <row r="788">
      <c r="K788" s="64"/>
    </row>
    <row r="789">
      <c r="K789" s="64"/>
    </row>
    <row r="790">
      <c r="K790" s="64"/>
    </row>
    <row r="791">
      <c r="K791" s="64"/>
    </row>
    <row r="792">
      <c r="K792" s="64"/>
    </row>
    <row r="793">
      <c r="K793" s="64"/>
    </row>
    <row r="794">
      <c r="K794" s="64"/>
    </row>
    <row r="795">
      <c r="K795" s="64"/>
    </row>
    <row r="796">
      <c r="K796" s="64"/>
    </row>
    <row r="797">
      <c r="K797" s="64"/>
    </row>
    <row r="798">
      <c r="K798" s="64"/>
    </row>
    <row r="799">
      <c r="K799" s="64"/>
    </row>
    <row r="800">
      <c r="K800" s="64"/>
    </row>
    <row r="801">
      <c r="K801" s="64"/>
    </row>
    <row r="802">
      <c r="K802" s="64"/>
    </row>
    <row r="803">
      <c r="K803" s="64"/>
    </row>
    <row r="804">
      <c r="K804" s="64"/>
    </row>
    <row r="805">
      <c r="K805" s="64"/>
    </row>
    <row r="806">
      <c r="K806" s="64"/>
    </row>
    <row r="807">
      <c r="K807" s="64"/>
    </row>
    <row r="808">
      <c r="K808" s="64"/>
    </row>
    <row r="809">
      <c r="K809" s="64"/>
    </row>
    <row r="810">
      <c r="K810" s="64"/>
    </row>
    <row r="811">
      <c r="K811" s="64"/>
    </row>
    <row r="812">
      <c r="K812" s="64"/>
    </row>
    <row r="813">
      <c r="K813" s="64"/>
    </row>
    <row r="814">
      <c r="K814" s="64"/>
    </row>
    <row r="815">
      <c r="K815" s="64"/>
    </row>
    <row r="816">
      <c r="K816" s="64"/>
    </row>
    <row r="817">
      <c r="K817" s="64"/>
    </row>
    <row r="818">
      <c r="K818" s="64"/>
    </row>
    <row r="819">
      <c r="K819" s="64"/>
    </row>
    <row r="820">
      <c r="K820" s="64"/>
    </row>
    <row r="821">
      <c r="K821" s="64"/>
    </row>
    <row r="822">
      <c r="K822" s="64"/>
    </row>
    <row r="823">
      <c r="K823" s="64"/>
    </row>
    <row r="824">
      <c r="K824" s="64"/>
    </row>
    <row r="825">
      <c r="K825" s="64"/>
    </row>
    <row r="826">
      <c r="K826" s="64"/>
    </row>
    <row r="827">
      <c r="K827" s="64"/>
    </row>
    <row r="828">
      <c r="K828" s="64"/>
    </row>
    <row r="829">
      <c r="K829" s="64"/>
    </row>
    <row r="830">
      <c r="K830" s="64"/>
    </row>
    <row r="831">
      <c r="K831" s="64"/>
    </row>
    <row r="832">
      <c r="K832" s="64"/>
    </row>
    <row r="833">
      <c r="K833" s="64"/>
    </row>
    <row r="834">
      <c r="K834" s="64"/>
    </row>
    <row r="835">
      <c r="K835" s="64"/>
    </row>
    <row r="836">
      <c r="K836" s="64"/>
    </row>
    <row r="837">
      <c r="K837" s="64"/>
    </row>
    <row r="838">
      <c r="K838" s="64"/>
    </row>
    <row r="839">
      <c r="K839" s="64"/>
    </row>
    <row r="840">
      <c r="K840" s="64"/>
    </row>
    <row r="841">
      <c r="K841" s="64"/>
    </row>
    <row r="842">
      <c r="K842" s="64"/>
    </row>
    <row r="843">
      <c r="K843" s="64"/>
    </row>
    <row r="844">
      <c r="K844" s="64"/>
    </row>
    <row r="845">
      <c r="K845" s="64"/>
    </row>
    <row r="846">
      <c r="K846" s="64"/>
    </row>
    <row r="847">
      <c r="K847" s="64"/>
    </row>
    <row r="848">
      <c r="K848" s="64"/>
    </row>
    <row r="849">
      <c r="K849" s="64"/>
    </row>
    <row r="850">
      <c r="K850" s="64"/>
    </row>
    <row r="851">
      <c r="K851" s="64"/>
    </row>
    <row r="852">
      <c r="K852" s="64"/>
    </row>
    <row r="853">
      <c r="K853" s="64"/>
    </row>
    <row r="854">
      <c r="K854" s="64"/>
    </row>
    <row r="855">
      <c r="K855" s="64"/>
    </row>
    <row r="856">
      <c r="K856" s="64"/>
    </row>
    <row r="857">
      <c r="K857" s="64"/>
    </row>
    <row r="858">
      <c r="K858" s="64"/>
    </row>
    <row r="859">
      <c r="K859" s="64"/>
    </row>
    <row r="860">
      <c r="K860" s="64"/>
    </row>
    <row r="861">
      <c r="K861" s="64"/>
    </row>
    <row r="862">
      <c r="K862" s="64"/>
    </row>
    <row r="863">
      <c r="K863" s="64"/>
    </row>
    <row r="864">
      <c r="K864" s="64"/>
    </row>
    <row r="865">
      <c r="K865" s="64"/>
    </row>
    <row r="866">
      <c r="K866" s="64"/>
    </row>
    <row r="867">
      <c r="K867" s="64"/>
    </row>
    <row r="868">
      <c r="K868" s="64"/>
    </row>
    <row r="869">
      <c r="K869" s="64"/>
    </row>
    <row r="870">
      <c r="K870" s="64"/>
    </row>
    <row r="871">
      <c r="K871" s="64"/>
    </row>
    <row r="872">
      <c r="K872" s="64"/>
    </row>
    <row r="873">
      <c r="K873" s="64"/>
    </row>
    <row r="874">
      <c r="K874" s="64"/>
    </row>
    <row r="875">
      <c r="K875" s="64"/>
    </row>
    <row r="876">
      <c r="K876" s="64"/>
    </row>
    <row r="877">
      <c r="K877" s="64"/>
    </row>
    <row r="878">
      <c r="K878" s="64"/>
    </row>
    <row r="879">
      <c r="K879" s="64"/>
    </row>
    <row r="880">
      <c r="K880" s="64"/>
    </row>
    <row r="881">
      <c r="K881" s="64"/>
    </row>
    <row r="882">
      <c r="K882" s="64"/>
    </row>
    <row r="883">
      <c r="K883" s="64"/>
    </row>
    <row r="884">
      <c r="K884" s="64"/>
    </row>
    <row r="885">
      <c r="K885" s="64"/>
    </row>
    <row r="886">
      <c r="K886" s="64"/>
    </row>
    <row r="887">
      <c r="K887" s="64"/>
    </row>
    <row r="888">
      <c r="K888" s="64"/>
    </row>
    <row r="889">
      <c r="K889" s="64"/>
    </row>
    <row r="890">
      <c r="K890" s="64"/>
    </row>
    <row r="891">
      <c r="K891" s="64"/>
    </row>
    <row r="892">
      <c r="K892" s="64"/>
    </row>
    <row r="893">
      <c r="K893" s="64"/>
    </row>
    <row r="894">
      <c r="K894" s="64"/>
    </row>
    <row r="895">
      <c r="K895" s="64"/>
    </row>
    <row r="896">
      <c r="K896" s="64"/>
    </row>
    <row r="897">
      <c r="K897" s="64"/>
    </row>
    <row r="898">
      <c r="K898" s="64"/>
    </row>
    <row r="899">
      <c r="K899" s="64"/>
    </row>
    <row r="900">
      <c r="K900" s="64"/>
    </row>
    <row r="901">
      <c r="K901" s="64"/>
    </row>
    <row r="902">
      <c r="K902" s="64"/>
    </row>
    <row r="903">
      <c r="K903" s="64"/>
    </row>
    <row r="904">
      <c r="K904" s="64"/>
    </row>
    <row r="905">
      <c r="K905" s="64"/>
    </row>
    <row r="906">
      <c r="K906" s="64"/>
    </row>
    <row r="907">
      <c r="K907" s="64"/>
    </row>
    <row r="908">
      <c r="K908" s="64"/>
    </row>
    <row r="909">
      <c r="K909" s="64"/>
    </row>
    <row r="910">
      <c r="K910" s="64"/>
    </row>
    <row r="911">
      <c r="K911" s="64"/>
    </row>
    <row r="912">
      <c r="K912" s="64"/>
    </row>
    <row r="913">
      <c r="K913" s="64"/>
    </row>
    <row r="914">
      <c r="K914" s="64"/>
    </row>
    <row r="915">
      <c r="K915" s="64"/>
    </row>
    <row r="916">
      <c r="K916" s="64"/>
    </row>
    <row r="917">
      <c r="K917" s="64"/>
    </row>
    <row r="918">
      <c r="K918" s="64"/>
    </row>
    <row r="919">
      <c r="K919" s="64"/>
    </row>
    <row r="920">
      <c r="K920" s="64"/>
    </row>
    <row r="921">
      <c r="K921" s="64"/>
    </row>
    <row r="922">
      <c r="K922" s="64"/>
    </row>
    <row r="923">
      <c r="K923" s="64"/>
    </row>
    <row r="924">
      <c r="K924" s="64"/>
    </row>
    <row r="925">
      <c r="K925" s="64"/>
    </row>
    <row r="926">
      <c r="K926" s="64"/>
    </row>
    <row r="927">
      <c r="K927" s="64"/>
    </row>
    <row r="928">
      <c r="K928" s="64"/>
    </row>
    <row r="929">
      <c r="K929" s="64"/>
    </row>
    <row r="930">
      <c r="K930" s="64"/>
    </row>
    <row r="931">
      <c r="K931" s="64"/>
    </row>
    <row r="932">
      <c r="K932" s="64"/>
    </row>
    <row r="933">
      <c r="K933" s="64"/>
    </row>
    <row r="934">
      <c r="K934" s="64"/>
    </row>
    <row r="935">
      <c r="K935" s="64"/>
    </row>
    <row r="936">
      <c r="K936" s="64"/>
    </row>
    <row r="937">
      <c r="K937" s="64"/>
    </row>
    <row r="938">
      <c r="K938" s="64"/>
    </row>
    <row r="939">
      <c r="K939" s="64"/>
    </row>
    <row r="940">
      <c r="K940" s="64"/>
    </row>
    <row r="941">
      <c r="K941" s="64"/>
    </row>
    <row r="942">
      <c r="K942" s="64"/>
    </row>
    <row r="943">
      <c r="K943" s="64"/>
    </row>
    <row r="944">
      <c r="K944" s="64"/>
    </row>
    <row r="945">
      <c r="K945" s="64"/>
    </row>
    <row r="946">
      <c r="K946" s="64"/>
    </row>
    <row r="947">
      <c r="K947" s="64"/>
    </row>
    <row r="948">
      <c r="K948" s="64"/>
    </row>
    <row r="949">
      <c r="K949" s="64"/>
    </row>
    <row r="950">
      <c r="K950" s="64"/>
    </row>
    <row r="951">
      <c r="K951" s="64"/>
    </row>
    <row r="952">
      <c r="K952" s="64"/>
    </row>
    <row r="953">
      <c r="K953" s="64"/>
    </row>
    <row r="954">
      <c r="K954" s="64"/>
    </row>
    <row r="955">
      <c r="K955" s="64"/>
    </row>
    <row r="956">
      <c r="K956" s="64"/>
    </row>
    <row r="957">
      <c r="K957" s="64"/>
    </row>
    <row r="958">
      <c r="K958" s="64"/>
    </row>
    <row r="959">
      <c r="K959" s="64"/>
    </row>
    <row r="960">
      <c r="K960" s="64"/>
    </row>
    <row r="961">
      <c r="K961" s="64"/>
    </row>
    <row r="962">
      <c r="K962" s="64"/>
    </row>
    <row r="963">
      <c r="K963" s="64"/>
    </row>
    <row r="964">
      <c r="K964" s="64"/>
    </row>
    <row r="965">
      <c r="K965" s="64"/>
    </row>
    <row r="966">
      <c r="K966" s="64"/>
    </row>
    <row r="967">
      <c r="K967" s="64"/>
    </row>
    <row r="968">
      <c r="K968" s="64"/>
    </row>
    <row r="969">
      <c r="K969" s="64"/>
    </row>
    <row r="970">
      <c r="K970" s="64"/>
    </row>
    <row r="971">
      <c r="K971" s="64"/>
    </row>
    <row r="972">
      <c r="K972" s="64"/>
    </row>
    <row r="973">
      <c r="K973" s="64"/>
    </row>
    <row r="974">
      <c r="K974" s="64"/>
    </row>
    <row r="975">
      <c r="K975" s="64"/>
    </row>
    <row r="976">
      <c r="K976" s="64"/>
    </row>
    <row r="977">
      <c r="K977" s="64"/>
    </row>
    <row r="978">
      <c r="K978" s="64"/>
    </row>
    <row r="979">
      <c r="K979" s="64"/>
    </row>
    <row r="980">
      <c r="K980" s="64"/>
    </row>
    <row r="981">
      <c r="K981" s="64"/>
    </row>
    <row r="982">
      <c r="K982" s="64"/>
    </row>
    <row r="983">
      <c r="K983" s="64"/>
    </row>
    <row r="984">
      <c r="K984" s="64"/>
    </row>
    <row r="985">
      <c r="K985" s="64"/>
    </row>
    <row r="986">
      <c r="K986" s="64"/>
    </row>
    <row r="987">
      <c r="K987" s="64"/>
    </row>
    <row r="988">
      <c r="K988" s="64"/>
    </row>
    <row r="989">
      <c r="K989" s="64"/>
    </row>
    <row r="990">
      <c r="K990" s="64"/>
    </row>
    <row r="991">
      <c r="K991" s="64"/>
    </row>
    <row r="992">
      <c r="K992" s="64"/>
    </row>
    <row r="993">
      <c r="K993" s="64"/>
    </row>
    <row r="994">
      <c r="K994" s="64"/>
    </row>
    <row r="995">
      <c r="K995" s="64"/>
    </row>
    <row r="996">
      <c r="K996" s="64"/>
    </row>
    <row r="997">
      <c r="K997" s="64"/>
    </row>
    <row r="998">
      <c r="K998" s="64"/>
    </row>
    <row r="999">
      <c r="K999" s="64"/>
    </row>
    <row r="1000">
      <c r="K1000" s="64"/>
    </row>
    <row r="1001">
      <c r="K1001" s="64"/>
    </row>
  </sheetData>
  <hyperlinks>
    <hyperlink r:id="rId1" ref="G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s>
  <sheetData>
    <row r="1">
      <c r="A1" s="25" t="s">
        <v>2</v>
      </c>
      <c r="B1" s="26" t="s">
        <v>40</v>
      </c>
      <c r="C1" s="26" t="s">
        <v>41</v>
      </c>
      <c r="D1" s="26" t="s">
        <v>42</v>
      </c>
      <c r="E1" s="25" t="s">
        <v>43</v>
      </c>
      <c r="F1" s="26" t="s">
        <v>44</v>
      </c>
      <c r="G1" s="25" t="s">
        <v>45</v>
      </c>
      <c r="H1" s="26" t="s">
        <v>623</v>
      </c>
      <c r="I1" s="6" t="s">
        <v>624</v>
      </c>
      <c r="J1" s="26" t="s">
        <v>48</v>
      </c>
      <c r="K1" s="26" t="s">
        <v>49</v>
      </c>
      <c r="L1" s="26" t="s">
        <v>50</v>
      </c>
      <c r="M1" s="6" t="s">
        <v>51</v>
      </c>
      <c r="N1" s="6" t="s">
        <v>52</v>
      </c>
      <c r="O1" s="26" t="s">
        <v>53</v>
      </c>
      <c r="P1" s="6" t="s">
        <v>54</v>
      </c>
    </row>
    <row r="2">
      <c r="A2" s="14" t="s">
        <v>6</v>
      </c>
      <c r="B2" s="13" t="s">
        <v>629</v>
      </c>
      <c r="C2" s="13" t="s">
        <v>630</v>
      </c>
      <c r="D2" s="13" t="s">
        <v>207</v>
      </c>
      <c r="E2" s="14" t="s">
        <v>95</v>
      </c>
      <c r="F2" s="17" t="s">
        <v>631</v>
      </c>
      <c r="G2" s="14"/>
      <c r="H2" s="13" t="s">
        <v>241</v>
      </c>
      <c r="I2" s="13" t="s">
        <v>182</v>
      </c>
      <c r="J2" s="13" t="s">
        <v>187</v>
      </c>
      <c r="K2" s="24">
        <v>0.3</v>
      </c>
      <c r="L2" s="39">
        <v>45582.0</v>
      </c>
      <c r="M2" s="35" t="s">
        <v>632</v>
      </c>
      <c r="N2" s="13" t="s">
        <v>633</v>
      </c>
      <c r="O2" s="39">
        <v>45596.0</v>
      </c>
      <c r="P2" s="90">
        <v>45609.0</v>
      </c>
    </row>
    <row r="3">
      <c r="A3" s="14" t="s">
        <v>6</v>
      </c>
      <c r="B3" s="13" t="s">
        <v>634</v>
      </c>
      <c r="C3" s="13" t="s">
        <v>109</v>
      </c>
      <c r="D3" s="13" t="s">
        <v>181</v>
      </c>
      <c r="E3" s="14" t="s">
        <v>635</v>
      </c>
      <c r="F3" s="37" t="s">
        <v>218</v>
      </c>
      <c r="G3" s="43" t="s">
        <v>636</v>
      </c>
      <c r="H3" s="13" t="s">
        <v>138</v>
      </c>
      <c r="I3" s="13"/>
      <c r="J3" s="13" t="s">
        <v>62</v>
      </c>
      <c r="K3" s="24">
        <v>0.0</v>
      </c>
      <c r="L3" s="39"/>
      <c r="M3" s="35"/>
      <c r="N3" s="13" t="s">
        <v>637</v>
      </c>
      <c r="O3" s="39">
        <v>45590.0</v>
      </c>
    </row>
    <row r="4">
      <c r="A4" s="14" t="s">
        <v>6</v>
      </c>
      <c r="B4" s="13" t="s">
        <v>638</v>
      </c>
      <c r="C4" s="13" t="s">
        <v>239</v>
      </c>
      <c r="D4" s="13" t="s">
        <v>77</v>
      </c>
      <c r="E4" s="14" t="s">
        <v>181</v>
      </c>
      <c r="G4" s="37" t="s">
        <v>639</v>
      </c>
      <c r="H4" s="13" t="s">
        <v>168</v>
      </c>
      <c r="I4" s="13" t="s">
        <v>640</v>
      </c>
      <c r="J4" s="13" t="s">
        <v>641</v>
      </c>
      <c r="K4" s="24">
        <v>0.0</v>
      </c>
      <c r="L4" s="39">
        <v>45610.0</v>
      </c>
      <c r="M4" s="35" t="s">
        <v>642</v>
      </c>
      <c r="O4" s="39">
        <v>45611.0</v>
      </c>
      <c r="P4" s="42">
        <v>45612.0</v>
      </c>
    </row>
    <row r="5">
      <c r="A5" s="14" t="s">
        <v>6</v>
      </c>
      <c r="B5" s="13" t="s">
        <v>643</v>
      </c>
      <c r="C5" s="13" t="s">
        <v>76</v>
      </c>
      <c r="D5" s="13" t="s">
        <v>77</v>
      </c>
      <c r="E5" s="13" t="s">
        <v>95</v>
      </c>
      <c r="F5" s="37" t="s">
        <v>644</v>
      </c>
      <c r="H5" s="13" t="s">
        <v>645</v>
      </c>
      <c r="J5" s="13" t="s">
        <v>646</v>
      </c>
      <c r="K5" s="24">
        <v>0.0</v>
      </c>
      <c r="L5" s="39">
        <v>45622.0</v>
      </c>
      <c r="M5" s="35" t="s">
        <v>647</v>
      </c>
      <c r="O5" s="39">
        <v>45631.0</v>
      </c>
    </row>
    <row r="6">
      <c r="A6" s="14" t="s">
        <v>6</v>
      </c>
      <c r="B6" s="13" t="s">
        <v>648</v>
      </c>
      <c r="C6" s="13" t="s">
        <v>76</v>
      </c>
      <c r="D6" s="13" t="s">
        <v>77</v>
      </c>
      <c r="E6" s="14" t="s">
        <v>95</v>
      </c>
      <c r="F6" s="37" t="s">
        <v>649</v>
      </c>
      <c r="G6" s="5"/>
      <c r="H6" s="13" t="s">
        <v>168</v>
      </c>
      <c r="I6" s="13" t="s">
        <v>182</v>
      </c>
      <c r="J6" s="13" t="s">
        <v>650</v>
      </c>
      <c r="K6" s="24">
        <v>0.0</v>
      </c>
      <c r="L6" s="39">
        <v>45610.0</v>
      </c>
      <c r="M6" s="13" t="s">
        <v>651</v>
      </c>
      <c r="N6" s="12" t="s">
        <v>652</v>
      </c>
      <c r="O6" s="39">
        <v>45638.0</v>
      </c>
    </row>
    <row r="7" ht="15.0" customHeight="1">
      <c r="A7" s="14" t="s">
        <v>6</v>
      </c>
      <c r="B7" s="13" t="s">
        <v>653</v>
      </c>
      <c r="C7" s="13" t="s">
        <v>217</v>
      </c>
      <c r="D7" s="13" t="s">
        <v>654</v>
      </c>
      <c r="E7" s="14" t="s">
        <v>655</v>
      </c>
      <c r="F7" s="44"/>
      <c r="G7" s="5"/>
      <c r="H7" s="13" t="s">
        <v>168</v>
      </c>
      <c r="I7" s="13" t="s">
        <v>61</v>
      </c>
      <c r="J7" s="35"/>
      <c r="K7" s="24">
        <v>0.0</v>
      </c>
      <c r="L7" s="51"/>
      <c r="M7" s="35"/>
      <c r="N7" s="35"/>
      <c r="O7" s="39"/>
    </row>
    <row r="8" ht="21.0" customHeight="1">
      <c r="A8" s="14" t="s">
        <v>6</v>
      </c>
      <c r="B8" s="13" t="s">
        <v>656</v>
      </c>
      <c r="C8" s="13" t="s">
        <v>76</v>
      </c>
      <c r="D8" s="13" t="s">
        <v>77</v>
      </c>
      <c r="E8" s="13" t="s">
        <v>156</v>
      </c>
      <c r="F8" s="97" t="s">
        <v>657</v>
      </c>
      <c r="G8" s="43" t="s">
        <v>658</v>
      </c>
      <c r="H8" s="13" t="s">
        <v>168</v>
      </c>
      <c r="I8" s="13" t="s">
        <v>659</v>
      </c>
      <c r="J8" s="35" t="s">
        <v>660</v>
      </c>
      <c r="K8" s="24">
        <v>0.0</v>
      </c>
      <c r="L8" s="39">
        <v>45581.0</v>
      </c>
      <c r="M8" s="35" t="s">
        <v>661</v>
      </c>
      <c r="N8" s="13" t="s">
        <v>662</v>
      </c>
      <c r="O8" s="36">
        <v>45723.0</v>
      </c>
    </row>
    <row r="9" ht="19.5" customHeight="1">
      <c r="A9" s="14" t="s">
        <v>6</v>
      </c>
      <c r="B9" s="13" t="s">
        <v>663</v>
      </c>
      <c r="C9" s="13" t="s">
        <v>76</v>
      </c>
      <c r="D9" s="13" t="s">
        <v>77</v>
      </c>
      <c r="E9" s="18" t="s">
        <v>664</v>
      </c>
      <c r="F9" s="37" t="s">
        <v>665</v>
      </c>
      <c r="G9" s="14"/>
      <c r="H9" s="13" t="s">
        <v>168</v>
      </c>
      <c r="I9" s="35" t="s">
        <v>666</v>
      </c>
      <c r="J9" s="35" t="s">
        <v>667</v>
      </c>
      <c r="K9" s="24">
        <v>0.0</v>
      </c>
      <c r="L9" s="39">
        <v>45574.0</v>
      </c>
      <c r="M9" s="35" t="s">
        <v>668</v>
      </c>
      <c r="O9" s="36">
        <v>45667.0</v>
      </c>
    </row>
    <row r="10" ht="15.0" customHeight="1">
      <c r="A10" s="14" t="s">
        <v>6</v>
      </c>
      <c r="B10" s="13" t="s">
        <v>669</v>
      </c>
      <c r="C10" s="13" t="s">
        <v>670</v>
      </c>
      <c r="D10" s="13" t="s">
        <v>77</v>
      </c>
      <c r="E10" s="14" t="s">
        <v>181</v>
      </c>
      <c r="F10" s="37" t="s">
        <v>671</v>
      </c>
      <c r="G10" s="5"/>
      <c r="H10" s="13" t="s">
        <v>168</v>
      </c>
      <c r="I10" s="13"/>
      <c r="J10" s="35" t="s">
        <v>672</v>
      </c>
      <c r="K10" s="24">
        <v>0.0</v>
      </c>
      <c r="L10" s="51"/>
      <c r="M10" s="35" t="s">
        <v>673</v>
      </c>
      <c r="N10" s="35"/>
      <c r="O10" s="39">
        <v>45694.0</v>
      </c>
    </row>
    <row r="11" ht="20.25" customHeight="1">
      <c r="A11" s="14" t="s">
        <v>6</v>
      </c>
      <c r="B11" s="13" t="s">
        <v>674</v>
      </c>
      <c r="C11" s="13" t="s">
        <v>675</v>
      </c>
      <c r="D11" s="13" t="s">
        <v>676</v>
      </c>
      <c r="E11" s="18" t="s">
        <v>677</v>
      </c>
      <c r="F11" s="37" t="s">
        <v>678</v>
      </c>
      <c r="G11" s="14" t="s">
        <v>679</v>
      </c>
      <c r="H11" s="13" t="s">
        <v>168</v>
      </c>
      <c r="I11" s="20" t="s">
        <v>680</v>
      </c>
      <c r="J11" s="13" t="s">
        <v>681</v>
      </c>
      <c r="K11" s="24">
        <v>0.0</v>
      </c>
      <c r="L11" s="39">
        <v>45536.0</v>
      </c>
      <c r="M11" s="35" t="s">
        <v>682</v>
      </c>
      <c r="N11" s="13" t="s">
        <v>683</v>
      </c>
      <c r="O11" s="36">
        <v>45596.0</v>
      </c>
    </row>
    <row r="12" ht="15.75" customHeight="1">
      <c r="A12" s="14" t="s">
        <v>6</v>
      </c>
      <c r="B12" s="13" t="s">
        <v>684</v>
      </c>
      <c r="C12" s="13" t="s">
        <v>109</v>
      </c>
      <c r="D12" s="13" t="s">
        <v>77</v>
      </c>
      <c r="E12" s="14" t="s">
        <v>685</v>
      </c>
      <c r="F12" s="37" t="s">
        <v>686</v>
      </c>
      <c r="G12" s="49" t="s">
        <v>687</v>
      </c>
      <c r="H12" s="13" t="s">
        <v>168</v>
      </c>
      <c r="I12" s="13" t="s">
        <v>688</v>
      </c>
      <c r="J12" s="13" t="s">
        <v>681</v>
      </c>
      <c r="K12" s="24">
        <v>0.0</v>
      </c>
      <c r="L12" s="39">
        <v>45536.0</v>
      </c>
      <c r="M12" s="35" t="s">
        <v>689</v>
      </c>
      <c r="O12" s="36">
        <v>45610.0</v>
      </c>
    </row>
    <row r="13" ht="18.75" customHeight="1">
      <c r="A13" s="14" t="s">
        <v>6</v>
      </c>
      <c r="B13" s="35" t="s">
        <v>690</v>
      </c>
      <c r="C13" s="13" t="s">
        <v>57</v>
      </c>
      <c r="D13" s="13" t="s">
        <v>72</v>
      </c>
      <c r="E13" s="18" t="s">
        <v>691</v>
      </c>
      <c r="G13" s="5"/>
      <c r="J13" s="13" t="s">
        <v>692</v>
      </c>
      <c r="K13" s="24">
        <v>0.0</v>
      </c>
      <c r="L13" s="39">
        <v>45590.0</v>
      </c>
      <c r="M13" s="35" t="s">
        <v>693</v>
      </c>
      <c r="N13" s="17" t="s">
        <v>694</v>
      </c>
      <c r="O13" s="39">
        <v>45603.0</v>
      </c>
      <c r="P13" s="13" t="s">
        <v>695</v>
      </c>
      <c r="Q13" s="13"/>
    </row>
    <row r="14" ht="21.0" customHeight="1">
      <c r="A14" s="14" t="s">
        <v>65</v>
      </c>
      <c r="B14" s="13" t="s">
        <v>230</v>
      </c>
      <c r="C14" s="13" t="s">
        <v>231</v>
      </c>
      <c r="D14" s="13" t="s">
        <v>232</v>
      </c>
      <c r="E14" s="14" t="s">
        <v>233</v>
      </c>
      <c r="F14" s="37" t="s">
        <v>234</v>
      </c>
      <c r="G14" s="5"/>
      <c r="H14" s="13" t="s">
        <v>235</v>
      </c>
      <c r="J14" s="20" t="s">
        <v>236</v>
      </c>
      <c r="K14" s="24">
        <v>0.0</v>
      </c>
      <c r="L14" s="39">
        <v>45603.0</v>
      </c>
      <c r="M14" s="20" t="s">
        <v>237</v>
      </c>
      <c r="O14" s="39">
        <v>45667.0</v>
      </c>
    </row>
    <row r="15">
      <c r="A15" s="14" t="s">
        <v>6</v>
      </c>
      <c r="B15" s="13" t="s">
        <v>696</v>
      </c>
      <c r="C15" s="13" t="s">
        <v>697</v>
      </c>
      <c r="D15" s="13" t="s">
        <v>72</v>
      </c>
      <c r="E15" s="18" t="s">
        <v>698</v>
      </c>
      <c r="G15" s="33" t="s">
        <v>699</v>
      </c>
      <c r="H15" s="35" t="s">
        <v>700</v>
      </c>
      <c r="I15" s="13" t="s">
        <v>701</v>
      </c>
      <c r="J15" s="13" t="s">
        <v>702</v>
      </c>
      <c r="K15" s="24">
        <v>0.0</v>
      </c>
      <c r="L15" s="39">
        <v>45536.0</v>
      </c>
      <c r="M15" s="35" t="s">
        <v>703</v>
      </c>
      <c r="N15" s="13" t="s">
        <v>704</v>
      </c>
      <c r="O15" s="39">
        <v>45638.0</v>
      </c>
    </row>
    <row r="16" ht="15.0" customHeight="1">
      <c r="A16" s="14" t="s">
        <v>6</v>
      </c>
      <c r="B16" s="13" t="s">
        <v>705</v>
      </c>
      <c r="C16" s="13"/>
      <c r="D16" s="13"/>
      <c r="E16" s="14"/>
      <c r="G16" s="5"/>
      <c r="H16" s="13" t="s">
        <v>192</v>
      </c>
      <c r="I16" s="13"/>
      <c r="J16" s="35" t="s">
        <v>706</v>
      </c>
      <c r="K16" s="24">
        <v>0.0</v>
      </c>
      <c r="L16" s="51">
        <v>45789.0</v>
      </c>
      <c r="M16" s="35" t="s">
        <v>707</v>
      </c>
      <c r="N16" s="35"/>
      <c r="O16" s="39">
        <v>45813.0</v>
      </c>
    </row>
    <row r="17" ht="15.0" customHeight="1">
      <c r="A17" s="14" t="s">
        <v>6</v>
      </c>
      <c r="B17" s="13" t="s">
        <v>708</v>
      </c>
      <c r="C17" s="13"/>
      <c r="E17" s="14"/>
      <c r="F17" s="98" t="s">
        <v>709</v>
      </c>
      <c r="G17" s="5"/>
      <c r="H17" s="13" t="s">
        <v>192</v>
      </c>
      <c r="I17" s="13" t="s">
        <v>61</v>
      </c>
      <c r="J17" s="35" t="s">
        <v>710</v>
      </c>
      <c r="K17" s="24">
        <v>0.4</v>
      </c>
      <c r="L17" s="35" t="s">
        <v>711</v>
      </c>
      <c r="M17" s="35"/>
      <c r="N17" s="35"/>
      <c r="O17" s="39">
        <v>45799.0</v>
      </c>
    </row>
    <row r="18" ht="14.25" customHeight="1">
      <c r="A18" s="14" t="s">
        <v>6</v>
      </c>
      <c r="B18" s="35" t="s">
        <v>712</v>
      </c>
      <c r="C18" s="13" t="s">
        <v>713</v>
      </c>
      <c r="D18" s="20" t="s">
        <v>714</v>
      </c>
      <c r="E18" s="40" t="s">
        <v>715</v>
      </c>
      <c r="F18" s="37" t="s">
        <v>716</v>
      </c>
      <c r="G18" s="43" t="s">
        <v>717</v>
      </c>
      <c r="H18" s="13" t="s">
        <v>192</v>
      </c>
      <c r="I18" s="13" t="s">
        <v>61</v>
      </c>
      <c r="J18" s="35" t="s">
        <v>718</v>
      </c>
      <c r="K18" s="24">
        <v>0.05</v>
      </c>
      <c r="L18" s="36">
        <v>45729.0</v>
      </c>
      <c r="M18" s="99" t="s">
        <v>719</v>
      </c>
      <c r="O18" s="36">
        <v>45878.0</v>
      </c>
    </row>
    <row r="19" ht="15.0" customHeight="1">
      <c r="A19" s="14" t="s">
        <v>6</v>
      </c>
      <c r="B19" s="13" t="s">
        <v>720</v>
      </c>
      <c r="C19" s="13"/>
      <c r="D19" s="13" t="s">
        <v>77</v>
      </c>
      <c r="E19" s="18" t="s">
        <v>664</v>
      </c>
      <c r="F19" s="37" t="s">
        <v>721</v>
      </c>
      <c r="G19" s="38" t="s">
        <v>722</v>
      </c>
      <c r="H19" s="13" t="s">
        <v>168</v>
      </c>
      <c r="I19" s="13" t="s">
        <v>182</v>
      </c>
      <c r="J19" s="35" t="s">
        <v>723</v>
      </c>
      <c r="K19" s="24">
        <v>0.1</v>
      </c>
      <c r="L19" s="51"/>
      <c r="M19" s="35" t="s">
        <v>724</v>
      </c>
      <c r="N19" s="35"/>
      <c r="O19" s="39">
        <v>45855.0</v>
      </c>
    </row>
    <row r="20" ht="19.5" customHeight="1">
      <c r="A20" s="14" t="s">
        <v>6</v>
      </c>
      <c r="B20" s="13" t="s">
        <v>725</v>
      </c>
      <c r="C20" s="13" t="s">
        <v>57</v>
      </c>
      <c r="D20" s="13" t="s">
        <v>72</v>
      </c>
      <c r="E20" s="18"/>
      <c r="F20" s="35"/>
      <c r="G20" s="43" t="s">
        <v>726</v>
      </c>
      <c r="H20" s="13" t="s">
        <v>61</v>
      </c>
      <c r="I20" s="13"/>
      <c r="J20" s="35" t="s">
        <v>727</v>
      </c>
      <c r="K20" s="24">
        <v>0.0</v>
      </c>
      <c r="L20" s="39">
        <v>45505.0</v>
      </c>
      <c r="M20" s="35" t="s">
        <v>728</v>
      </c>
      <c r="N20" s="13"/>
      <c r="O20" s="36">
        <v>45701.0</v>
      </c>
    </row>
    <row r="21" ht="29.25" customHeight="1">
      <c r="A21" s="14" t="s">
        <v>6</v>
      </c>
      <c r="B21" s="13" t="s">
        <v>720</v>
      </c>
      <c r="C21" s="13"/>
      <c r="D21" s="13" t="s">
        <v>77</v>
      </c>
      <c r="E21" s="18" t="s">
        <v>664</v>
      </c>
      <c r="F21" s="37" t="s">
        <v>721</v>
      </c>
      <c r="G21" s="38" t="s">
        <v>722</v>
      </c>
      <c r="H21" s="13" t="s">
        <v>168</v>
      </c>
      <c r="I21" s="13" t="s">
        <v>182</v>
      </c>
      <c r="J21" s="35" t="s">
        <v>723</v>
      </c>
      <c r="K21" s="24">
        <v>0.1</v>
      </c>
      <c r="L21" s="51"/>
      <c r="M21" s="35" t="s">
        <v>724</v>
      </c>
      <c r="N21" s="35"/>
      <c r="O21" s="39">
        <v>45855.0</v>
      </c>
    </row>
    <row r="22" ht="24.75" customHeight="1">
      <c r="A22" s="14" t="s">
        <v>6</v>
      </c>
      <c r="B22" s="20" t="s">
        <v>729</v>
      </c>
      <c r="C22" s="13" t="s">
        <v>76</v>
      </c>
      <c r="D22" s="13" t="s">
        <v>77</v>
      </c>
      <c r="E22" s="40" t="s">
        <v>78</v>
      </c>
      <c r="F22" s="37" t="s">
        <v>730</v>
      </c>
      <c r="G22" s="43" t="s">
        <v>717</v>
      </c>
      <c r="H22" s="13" t="s">
        <v>81</v>
      </c>
      <c r="J22" s="20" t="s">
        <v>731</v>
      </c>
      <c r="K22" s="24">
        <v>0.1</v>
      </c>
      <c r="L22" s="39">
        <v>46022.0</v>
      </c>
      <c r="M22" s="20" t="s">
        <v>732</v>
      </c>
      <c r="O22" s="39">
        <v>45878.0</v>
      </c>
    </row>
  </sheetData>
  <hyperlinks>
    <hyperlink r:id="rId1" location="slide=id.g30a559d5c4d_0_1" ref="F2"/>
    <hyperlink r:id="rId2" ref="F3"/>
    <hyperlink r:id="rId3" location="gid=0" ref="G3"/>
    <hyperlink r:id="rId4" ref="G4"/>
    <hyperlink r:id="rId5" ref="F5"/>
    <hyperlink r:id="rId6" ref="F6"/>
    <hyperlink r:id="rId7" location="slide=id.g2e8566ec680_2_467" ref="N6"/>
    <hyperlink r:id="rId8" ref="F8"/>
    <hyperlink r:id="rId9" location="gid=262405000" ref="G8"/>
    <hyperlink r:id="rId10" ref="F9"/>
    <hyperlink r:id="rId11" ref="F10"/>
    <hyperlink r:id="rId12" ref="F11"/>
    <hyperlink r:id="rId13" ref="F12"/>
    <hyperlink r:id="rId14" location="gid=0" ref="G12"/>
    <hyperlink r:id="rId15" location="slide=id.g1ef5d2fa040_0_191" ref="N13"/>
    <hyperlink r:id="rId16" ref="F14"/>
    <hyperlink r:id="rId17" ref="G15"/>
    <hyperlink r:id="rId18" ref="F17"/>
    <hyperlink r:id="rId19" ref="F18"/>
    <hyperlink r:id="rId20" location="gid=1613979366" ref="G18"/>
    <hyperlink r:id="rId21" ref="F19"/>
    <hyperlink r:id="rId22" location="gid=0" ref="G19"/>
    <hyperlink r:id="rId23" ref="G20"/>
    <hyperlink r:id="rId24" ref="F21"/>
    <hyperlink r:id="rId25" location="gid=0" ref="G21"/>
    <hyperlink r:id="rId26" ref="F22"/>
    <hyperlink r:id="rId27" location="gid=1613979366" ref="G22"/>
  </hyperlinks>
  <drawing r:id="rId28"/>
</worksheet>
</file>